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Isabel\iCloudDrive\Documents\Garten\"/>
    </mc:Choice>
  </mc:AlternateContent>
  <xr:revisionPtr revIDLastSave="0" documentId="13_ncr:1_{7812ADA0-1EFA-44A1-85DC-558AF6711DB1}" xr6:coauthVersionLast="47" xr6:coauthVersionMax="47" xr10:uidLastSave="{00000000-0000-0000-0000-000000000000}"/>
  <bookViews>
    <workbookView xWindow="-120" yWindow="-120" windowWidth="29040" windowHeight="15720" activeTab="4" xr2:uid="{78913983-5E85-C74B-B055-386BD6DD4D6A}"/>
  </bookViews>
  <sheets>
    <sheet name="Anzuchtdatenbank" sheetId="5" r:id="rId1"/>
    <sheet name="Tabelle1" sheetId="8" r:id="rId2"/>
    <sheet name="Hilfsblatt" sheetId="7" r:id="rId3"/>
    <sheet name="2025" sheetId="4" r:id="rId4"/>
    <sheet name="2026" sheetId="6" r:id="rId5"/>
  </sheets>
  <definedNames>
    <definedName name="_xleta.CONCATENATE" hidden="1" xlm="1">#NAME?</definedName>
    <definedName name="Basilikum">Anzuchtdatenbank!$B$2</definedName>
    <definedName name="Bechermalve">Anzuchtdatenbank!$B$3</definedName>
    <definedName name="Blattkoriander">Anzuchtdatenbank!$B$4</definedName>
    <definedName name="Blumenkohl">Anzuchtdatenbank!$B$6</definedName>
    <definedName name="Borretsch">Anzuchtdatenbank!$B$8</definedName>
    <definedName name="Brokkoli">Anzuchtdatenbank!$B$9</definedName>
    <definedName name="Buschbohne">Anzuchtdatenbank!$B$10</definedName>
    <definedName name="Chili">Anzuchtdatenbank!$B$11</definedName>
    <definedName name="Cosmea">Anzuchtdatenbank!$B$16</definedName>
    <definedName name="Dill">Anzuchtdatenbank!$B$18</definedName>
    <definedName name="Einlegegurke">Anzuchtdatenbank!$B$21</definedName>
    <definedName name="Endivien">Anzuchtdatenbank!$B$22</definedName>
    <definedName name="Gartenkresse">Anzuchtdatenbank!$B$23</definedName>
    <definedName name="Grünkohl">Anzuchtdatenbank!$B$25</definedName>
    <definedName name="Gurke">Anzuchtdatenbank!$B$26</definedName>
    <definedName name="Honigmelone">Anzuchtdatenbank!$B$28</definedName>
    <definedName name="Jungfer_im_Grünen">Anzuchtdatenbank!$B$29</definedName>
    <definedName name="Kamille">Anzuchtdatenbank!$B$30</definedName>
    <definedName name="Kapuzinerkresse">Anzuchtdatenbank!$B$32</definedName>
    <definedName name="Kartoffeln">Anzuchtdatenbank!$B$33</definedName>
    <definedName name="Knoblauch">Anzuchtdatenbank!$B$35</definedName>
    <definedName name="Kohlrabi">Anzuchtdatenbank!$B$38</definedName>
    <definedName name="Kopfsalat">Anzuchtdatenbank!$B$41</definedName>
    <definedName name="Kürbis">Anzuchtdatenbank!$B$42</definedName>
    <definedName name="Lavendel">Anzuchtdatenbank!$B$43</definedName>
    <definedName name="Lein">Anzuchtdatenbank!$B$44</definedName>
    <definedName name="Möhre">Anzuchtdatenbank!$B$48</definedName>
    <definedName name="Paprika">Anzuchtdatenbank!$B$50</definedName>
    <definedName name="Petersilie">Anzuchtdatenbank!$B$52</definedName>
    <definedName name="Pflücksalat">Anzuchtdatenbank!$B$53</definedName>
    <definedName name="Physalis">Anzuchtdatenbank!$B$54</definedName>
    <definedName name="Porree">Anzuchtdatenbank!$B$55</definedName>
    <definedName name="Radieschen">Anzuchtdatenbank!$B$57</definedName>
    <definedName name="Rauke">Anzuchtdatenbank!$B$58</definedName>
    <definedName name="Rhabarber">Anzuchtdatenbank!$B$59</definedName>
    <definedName name="Ringelblumen">Anzuchtdatenbank!$B$61</definedName>
    <definedName name="Rote_Bete">Anzuchtdatenbank!$B$63</definedName>
    <definedName name="Schnittlauch">Anzuchtdatenbank!$B$64</definedName>
    <definedName name="SortenFilter">_xlfn._xlws.FILTER(Datenbank[Sorte],Datenbank[Art]=Tabelle13[Was])</definedName>
    <definedName name="Spinat">Anzuchtdatenbank!$B$65</definedName>
    <definedName name="Stangensellerie">Anzuchtdatenbank!$B$66</definedName>
    <definedName name="Stielmus">Anzuchtdatenbank!$B$67</definedName>
    <definedName name="Tomate">Anzuchtdatenbank!$B$69</definedName>
    <definedName name="Tomaten__Cherrytomaten">Anzuchtdatenbank!$B$70</definedName>
    <definedName name="Tomaten__Cocktailtomaten">Anzuchtdatenbank!$B$73</definedName>
    <definedName name="Tomaten__Fleischtomaten">Anzuchtdatenbank!$B$76</definedName>
    <definedName name="Tomaten__Salattomaten">Anzuchtdatenbank!$B$77</definedName>
    <definedName name="Wintersteckzwiebel">Anzuchtdatenbank!$B$80</definedName>
    <definedName name="Zucchini">Anzuchtdatenbank!$B$82</definedName>
    <definedName name="Zuckermais">Anzuchtdatenbank!$B$84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6" i="6" l="1"/>
  <c r="F6" i="6"/>
  <c r="G6" i="6"/>
  <c r="H6" i="6"/>
  <c r="I6" i="6"/>
  <c r="M6" i="6"/>
  <c r="E5" i="6"/>
  <c r="F5" i="6"/>
  <c r="G5" i="6"/>
  <c r="H5" i="6"/>
  <c r="I5" i="6"/>
  <c r="M5" i="6"/>
  <c r="G2" i="6"/>
  <c r="G3" i="6"/>
  <c r="G4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M3" i="6"/>
  <c r="M4" i="6"/>
  <c r="M7" i="6"/>
  <c r="M2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H3" i="6"/>
  <c r="B1" i="7" a="1"/>
  <c r="B1" i="7" s="1"/>
  <c r="A1" i="7" a="1"/>
  <c r="A1" i="7" s="1"/>
  <c r="E2" i="6"/>
  <c r="E3" i="6"/>
  <c r="E4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I2" i="6"/>
  <c r="I3" i="6"/>
  <c r="I4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H4" i="6"/>
  <c r="H2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F2" i="6"/>
  <c r="F3" i="6"/>
  <c r="F4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<sst xmlns="http://schemas.openxmlformats.org/spreadsheetml/2006/main" count="1700" uniqueCount="452">
  <si>
    <t>Was</t>
  </si>
  <si>
    <t>Chili</t>
  </si>
  <si>
    <t>Paprika</t>
  </si>
  <si>
    <t>Februar</t>
  </si>
  <si>
    <t>März</t>
  </si>
  <si>
    <t>April</t>
  </si>
  <si>
    <t>Anzuchterde</t>
  </si>
  <si>
    <t>sonnig, geschützt</t>
  </si>
  <si>
    <t>sonnig</t>
  </si>
  <si>
    <t>Gurke</t>
  </si>
  <si>
    <t>3 cm</t>
  </si>
  <si>
    <t>Radieschen</t>
  </si>
  <si>
    <t>1 cm</t>
  </si>
  <si>
    <t>Basilikum</t>
  </si>
  <si>
    <t>Petersilie</t>
  </si>
  <si>
    <t>Schnittlauch</t>
  </si>
  <si>
    <t>Dill</t>
  </si>
  <si>
    <t>Ende April</t>
  </si>
  <si>
    <t>1-2 cm</t>
  </si>
  <si>
    <t>Sorte</t>
  </si>
  <si>
    <t>Aussaattiefe</t>
  </si>
  <si>
    <t>Keimtemperatur</t>
  </si>
  <si>
    <t>Blumenkohl</t>
  </si>
  <si>
    <t>Neckarperle</t>
  </si>
  <si>
    <t>Brokkoli</t>
  </si>
  <si>
    <t>Grünkohl</t>
  </si>
  <si>
    <t>Ostfriesische Palme</t>
  </si>
  <si>
    <t>Kohlrabi</t>
  </si>
  <si>
    <t>Superschmelz</t>
  </si>
  <si>
    <t>Möhre</t>
  </si>
  <si>
    <t>Gosenheimer Treib</t>
  </si>
  <si>
    <t>Milan</t>
  </si>
  <si>
    <t>Anzuchtzeitpunkt im Monat</t>
  </si>
  <si>
    <t>Monat der Anzucht</t>
  </si>
  <si>
    <t>Mitte</t>
  </si>
  <si>
    <t>Ende</t>
  </si>
  <si>
    <t>Anfang</t>
  </si>
  <si>
    <t>Einfache Schnitt</t>
  </si>
  <si>
    <t>Stangensellerie</t>
  </si>
  <si>
    <t>Buschbohne</t>
  </si>
  <si>
    <t>Knoblauch</t>
  </si>
  <si>
    <t>Hilari</t>
  </si>
  <si>
    <t>Wintersteckzwiebeln</t>
  </si>
  <si>
    <t>Robuschka</t>
  </si>
  <si>
    <t>Baquieu</t>
  </si>
  <si>
    <t>Tomate</t>
  </si>
  <si>
    <t>Monat der Pflanzung</t>
  </si>
  <si>
    <t>Pflanz-zeitpunkt im Monat</t>
  </si>
  <si>
    <t>Zucchini</t>
  </si>
  <si>
    <t>Cocozelle von Tripolis</t>
  </si>
  <si>
    <t>2 cm</t>
  </si>
  <si>
    <t>10 cm</t>
  </si>
  <si>
    <t>1,5 cm</t>
  </si>
  <si>
    <t>0,5 cm</t>
  </si>
  <si>
    <t>Sand</t>
  </si>
  <si>
    <t>min. 2 Tage</t>
  </si>
  <si>
    <t>12-24h</t>
  </si>
  <si>
    <t>12h</t>
  </si>
  <si>
    <t>Kamille</t>
  </si>
  <si>
    <t>Gekauft</t>
  </si>
  <si>
    <t>x</t>
  </si>
  <si>
    <t>Roter Augsburger</t>
  </si>
  <si>
    <t>Lila Luzi</t>
  </si>
  <si>
    <t>Primabella</t>
  </si>
  <si>
    <t>Zuckertraube</t>
  </si>
  <si>
    <t>Kommentar</t>
  </si>
  <si>
    <t>Jungfer im Grünen</t>
  </si>
  <si>
    <t>Cosmea</t>
  </si>
  <si>
    <t>Blattkoriander</t>
  </si>
  <si>
    <t>x2</t>
  </si>
  <si>
    <t>Art</t>
  </si>
  <si>
    <t>Vorkeimen?</t>
  </si>
  <si>
    <t>Vorkeim-Art</t>
  </si>
  <si>
    <t>Vorkeim-Dauer</t>
  </si>
  <si>
    <t>Anzucht-Zeit</t>
  </si>
  <si>
    <t>Anzucht-Ort</t>
  </si>
  <si>
    <t>Erde (Anzucht)</t>
  </si>
  <si>
    <t>Pflege (Anzucht)</t>
  </si>
  <si>
    <t>Pflanzzeit</t>
  </si>
  <si>
    <t>Erntezeit</t>
  </si>
  <si>
    <t>Erde (Auspflanzung)</t>
  </si>
  <si>
    <t>Standort</t>
  </si>
  <si>
    <t>Pflege</t>
  </si>
  <si>
    <t>Lavendel</t>
  </si>
  <si>
    <t>März - April</t>
  </si>
  <si>
    <t>Abstand</t>
  </si>
  <si>
    <t>Juni - August</t>
  </si>
  <si>
    <t>50 cm</t>
  </si>
  <si>
    <t>Freiland möglich, aber Vorkultur empfohlen</t>
  </si>
  <si>
    <t>sobald frostfrei</t>
  </si>
  <si>
    <t>nein</t>
  </si>
  <si>
    <t>16-25°C</t>
  </si>
  <si>
    <t>sandig, durchlässig, nährstoffarm</t>
  </si>
  <si>
    <t>Green Zabra</t>
  </si>
  <si>
    <t>70 cm</t>
  </si>
  <si>
    <t>Drinnen</t>
  </si>
  <si>
    <t>Salattomate; grün-gelb gestreift</t>
  </si>
  <si>
    <t>ja</t>
  </si>
  <si>
    <t>Juli - Oktober</t>
  </si>
  <si>
    <t>gesiebten, reifen Kompost</t>
  </si>
  <si>
    <t>20-25°C (Keimen)
17-18°C (Anzucht)</t>
  </si>
  <si>
    <t>nach 3-4 Wochen mit stark verdünntem Flüssigdünger düngen;
Abhärten vor Auspflanzung</t>
  </si>
  <si>
    <t>Hornspäne und Gesteinsmehl ins Pflanzloch;
nährstoffreich, mittelschwer, humusreich, tiefgründig</t>
  </si>
  <si>
    <t>leicht mit Erde/ Sand bedecken</t>
  </si>
  <si>
    <t>regelmäßig Wässern;
1x pro Woche ausgeizen</t>
  </si>
  <si>
    <t>Ziploc und Küchenpapier</t>
  </si>
  <si>
    <t>Halbhoher grüner Krauser</t>
  </si>
  <si>
    <t>April-Juli</t>
  </si>
  <si>
    <t>Oktober-März</t>
  </si>
  <si>
    <t>nährstoffreich</t>
  </si>
  <si>
    <t>15-20°C</t>
  </si>
  <si>
    <t>nährstoffreich, humos</t>
  </si>
  <si>
    <t>Ab September Brennesseljauche</t>
  </si>
  <si>
    <t>Drinnen
Draußen ab Mai</t>
  </si>
  <si>
    <t>Tetra</t>
  </si>
  <si>
    <t>März-August</t>
  </si>
  <si>
    <t>Mai-Oktober</t>
  </si>
  <si>
    <t>15 cm</t>
  </si>
  <si>
    <t>halbschattig - sonnig</t>
  </si>
  <si>
    <t>März - April drinnen
Ab Mai auch draußen</t>
  </si>
  <si>
    <t>durchlässig, nährstoffreich, humos</t>
  </si>
  <si>
    <t>Kapuzinerkresse</t>
  </si>
  <si>
    <t>Bunte Juwelen</t>
  </si>
  <si>
    <t>März-Mai</t>
  </si>
  <si>
    <t>Juni-Oktober</t>
  </si>
  <si>
    <t>März-April drinnen
Mai draußen</t>
  </si>
  <si>
    <t>durchlässig, ggf. mit Sand mischen, mäßig nährstoffreich</t>
  </si>
  <si>
    <t>18-21°C (Keimen)
15-18°C (Anzucht)</t>
  </si>
  <si>
    <t>Marmande</t>
  </si>
  <si>
    <t>März-April</t>
  </si>
  <si>
    <t>Juni-September</t>
  </si>
  <si>
    <t>Delikatess blau</t>
  </si>
  <si>
    <t>Januar-Juli</t>
  </si>
  <si>
    <t>April-Oktober</t>
  </si>
  <si>
    <t>25 cm</t>
  </si>
  <si>
    <t>Januar-April drinnen
ab Mai draußen</t>
  </si>
  <si>
    <t>20°C</t>
  </si>
  <si>
    <t>mäßig nährstoffreich</t>
  </si>
  <si>
    <t>18-20°C (Keimung)
12-16°C (Anzucht)</t>
  </si>
  <si>
    <t>ab März</t>
  </si>
  <si>
    <t>Aufplatzen entsteht hauptsächlicht durch Temperaturschwankungen</t>
  </si>
  <si>
    <t xml:space="preserve">Boden feucht halten und gut mulchen um Aufplatzen zu verhindern; bei Pflanzung und 6 Wochen danach Jauche </t>
  </si>
  <si>
    <t>Ringelblumen</t>
  </si>
  <si>
    <t>Pacific Beauty</t>
  </si>
  <si>
    <t>März-Juni</t>
  </si>
  <si>
    <t xml:space="preserve">20 cm </t>
  </si>
  <si>
    <t>10-25°C</t>
  </si>
  <si>
    <t>draußen</t>
  </si>
  <si>
    <t>durchlässig, sandig-lehmig, nicht zu nährstoffreich</t>
  </si>
  <si>
    <t>März drinnen
ab April draußen</t>
  </si>
  <si>
    <t>ab April</t>
  </si>
  <si>
    <t>Mai-September</t>
  </si>
  <si>
    <t>halbschatten</t>
  </si>
  <si>
    <t>Keimung dauert sehr lang; muss immer feucht gehalten werden</t>
  </si>
  <si>
    <t>egal</t>
  </si>
  <si>
    <t>0,5-1,5 cm</t>
  </si>
  <si>
    <t>Bechermalve</t>
  </si>
  <si>
    <t>40 cm</t>
  </si>
  <si>
    <t>März-April drinnen
ab Mai draußen</t>
  </si>
  <si>
    <t>Glas mit Wasser/Kamillentee</t>
  </si>
  <si>
    <t>durchlässig, lehmhaltig, nicht zu nährstoffreich</t>
  </si>
  <si>
    <t>0 cm</t>
  </si>
  <si>
    <t>Borretsch</t>
  </si>
  <si>
    <t>April-August</t>
  </si>
  <si>
    <t>30 cm</t>
  </si>
  <si>
    <t>nährstoffreich, durchlässig</t>
  </si>
  <si>
    <t>3-5 cm</t>
  </si>
  <si>
    <t>Spinat</t>
  </si>
  <si>
    <t>Matador</t>
  </si>
  <si>
    <t>nährstoffreich, humos, durchlässig</t>
  </si>
  <si>
    <t>2-3 cm</t>
  </si>
  <si>
    <t>10-20°C</t>
  </si>
  <si>
    <t>8-12 cm</t>
  </si>
  <si>
    <t>locker, mäßig nährstoffreich</t>
  </si>
  <si>
    <t>20°C (Keimung)
16-18°C (Anzucht)</t>
  </si>
  <si>
    <t>5-8 cm</t>
  </si>
  <si>
    <t>locker, durchlässig, nicht zu nährstoffreich</t>
  </si>
  <si>
    <t>Echte Kamille</t>
  </si>
  <si>
    <t>April-Juni</t>
  </si>
  <si>
    <t>drinnen</t>
  </si>
  <si>
    <t>15x25 cm</t>
  </si>
  <si>
    <t>25x25 cm</t>
  </si>
  <si>
    <t>0,5-1 cm</t>
  </si>
  <si>
    <t>leicht lehmig</t>
  </si>
  <si>
    <t>Moskrul 2/Mooskrause</t>
  </si>
  <si>
    <t>8x25 cm</t>
  </si>
  <si>
    <t>nahrhaft, tiefgründig</t>
  </si>
  <si>
    <t>März-Juli</t>
  </si>
  <si>
    <t>14-16°C</t>
  </si>
  <si>
    <t>Juni-November</t>
  </si>
  <si>
    <t>Middleman</t>
  </si>
  <si>
    <t>1,5x25 cm</t>
  </si>
  <si>
    <t>Mai-August</t>
  </si>
  <si>
    <t>humos, nährstoffreich</t>
  </si>
  <si>
    <t>Februar-August</t>
  </si>
  <si>
    <t>Februar-April drinnen
ab Mai draußen</t>
  </si>
  <si>
    <t>Großes Grünes</t>
  </si>
  <si>
    <t>Mai-Juni</t>
  </si>
  <si>
    <t>immer</t>
  </si>
  <si>
    <t>20x20 cm</t>
  </si>
  <si>
    <t>18-24°C</t>
  </si>
  <si>
    <t>Gartenkresse</t>
  </si>
  <si>
    <t>locker, nährstoffreich, humos</t>
  </si>
  <si>
    <t>3 mm</t>
  </si>
  <si>
    <t>Sperlis Elefant</t>
  </si>
  <si>
    <t>nährstoffreich, humos, tiefgründig</t>
  </si>
  <si>
    <t>Sperlis Marino</t>
  </si>
  <si>
    <t>5x20 cm</t>
  </si>
  <si>
    <t>durchlässig, locker</t>
  </si>
  <si>
    <t>Porree</t>
  </si>
  <si>
    <t>15x40 cm</t>
  </si>
  <si>
    <t>Juli-September</t>
  </si>
  <si>
    <t>Januar-Februar</t>
  </si>
  <si>
    <t>17-22°C</t>
  </si>
  <si>
    <t>alle zwei bis vier Wochen Brennesseljauche</t>
  </si>
  <si>
    <t>sehr scharf, Früchte werden rot wenn reif</t>
  </si>
  <si>
    <t>50x50 cm</t>
  </si>
  <si>
    <t>25-28°C (Keimung)</t>
  </si>
  <si>
    <t>beim Pikieren etwas tiefer einsetzen</t>
  </si>
  <si>
    <t>tiefgründig, humos, nährstoffreich</t>
  </si>
  <si>
    <t>Mai</t>
  </si>
  <si>
    <t>feuchte Samen vorkühlen (5°C)</t>
  </si>
  <si>
    <t>5 Tage</t>
  </si>
  <si>
    <t>40x40 cm</t>
  </si>
  <si>
    <t>San Marzano</t>
  </si>
  <si>
    <t>Februar-März</t>
  </si>
  <si>
    <t>bis Keimung</t>
  </si>
  <si>
    <t>20-25°C</t>
  </si>
  <si>
    <t>humos, nährstoffreich, durchlässig</t>
  </si>
  <si>
    <t>tiefer einpflanzen;
regelmäßig wässern, alle 2-3 Wochen düngen</t>
  </si>
  <si>
    <t>Juli-Oktober</t>
  </si>
  <si>
    <t>45x45</t>
  </si>
  <si>
    <t>Rauke</t>
  </si>
  <si>
    <t>Wilde Rauke</t>
  </si>
  <si>
    <t>14-20°C</t>
  </si>
  <si>
    <t>10x20 cm</t>
  </si>
  <si>
    <t>Di Sicilia violetto</t>
  </si>
  <si>
    <t>Januar-März drinnen oder Frühbeet
ab April draußen</t>
  </si>
  <si>
    <t>locker, nährstoffreich, lehmiger, kalkhaltiger</t>
  </si>
  <si>
    <t>25°C (Keimung)
15-22°C (Anzucht)</t>
  </si>
  <si>
    <t>gut wässern
1-2 x mit Hornmehl oder wöchentlich mit Brennesseljauche düngen
paar Wochen noch Auspflanzung anhäufeln</t>
  </si>
  <si>
    <t>Kalkhaltiger Boden schützt bisschen vor Kohlhernje
Wenig Wasser führt zu kleinen Köpfen und schnellerem Schossen
Mit eigenen Blättern Frucht schattieren, um Vergiblung zu vermeiden</t>
  </si>
  <si>
    <t>Einlegegurke</t>
  </si>
  <si>
    <t>Libelle</t>
  </si>
  <si>
    <t>April-Mai drinnen
Mai-Juni draußen</t>
  </si>
  <si>
    <t>12-48h</t>
  </si>
  <si>
    <t>30x120 cm</t>
  </si>
  <si>
    <t>lockere, humose, nährstoffrei Böden</t>
  </si>
  <si>
    <t>Wassermangen macht Gurken bitter</t>
  </si>
  <si>
    <t>Ruskaja</t>
  </si>
  <si>
    <t>Früchte jung dunkegrün, später orangebraun; kann in allen Stadien gegessen werden</t>
  </si>
  <si>
    <t>April-Mai</t>
  </si>
  <si>
    <t>April drinnen
Mai draußen</t>
  </si>
  <si>
    <t>nicht pikieren</t>
  </si>
  <si>
    <t>50x60 cm</t>
  </si>
  <si>
    <t>feucht, nährstoffreich</t>
  </si>
  <si>
    <t>Rankgerüst</t>
  </si>
  <si>
    <t>hoher, regelmäßiger Wasserbedarf
Rankgerüst</t>
  </si>
  <si>
    <t>August-September</t>
  </si>
  <si>
    <t>Vorgebirgstrauben</t>
  </si>
  <si>
    <t>100x100 cm</t>
  </si>
  <si>
    <t>20-22°C (Keimung)
15-18°C (Anzucht)</t>
  </si>
  <si>
    <t>regelmäßig gießen; ab und zu Brennesseljauche</t>
  </si>
  <si>
    <t>Tondo chiaro di Nizza</t>
  </si>
  <si>
    <t>runde, hellgrüne Früchte, Jung ernten</t>
  </si>
  <si>
    <t>70x100 cm</t>
  </si>
  <si>
    <t>Cocktailtomate</t>
  </si>
  <si>
    <t>tiefer einpflanzen;
regelmäßig wässern, alle 2-3 Wochen düngen
mulchen</t>
  </si>
  <si>
    <t>Tomaten (Fleischtomaten)</t>
  </si>
  <si>
    <t>Tomaten (Cocktailtomaten)</t>
  </si>
  <si>
    <t>Februar-April</t>
  </si>
  <si>
    <t>22-28°C</t>
  </si>
  <si>
    <t>60x100 cm</t>
  </si>
  <si>
    <t>Tomaten (Cherrytomaten)</t>
  </si>
  <si>
    <t>Yellow Clementine</t>
  </si>
  <si>
    <t>75x100 cm</t>
  </si>
  <si>
    <t>Tomaten (Salattomaten)</t>
  </si>
  <si>
    <t>Tigerella</t>
  </si>
  <si>
    <t>Rote Bete</t>
  </si>
  <si>
    <t>gut lagerfähig</t>
  </si>
  <si>
    <t>leicht mulchen</t>
  </si>
  <si>
    <t>Golden</t>
  </si>
  <si>
    <t>gelbes Fruchtfelisch</t>
  </si>
  <si>
    <t>Tall Utah</t>
  </si>
  <si>
    <t>30x30 cm</t>
  </si>
  <si>
    <t>nicht mit Erde, sondern mit Sand bedecken
nach 2-4 Wochen mit Flüssigdünger düngen
Abhärten vor der Auspflanzung</t>
  </si>
  <si>
    <t>durchlässig, locker, nährstoffreich</t>
  </si>
  <si>
    <t>regelmäßig düngen</t>
  </si>
  <si>
    <t xml:space="preserve">Azur Star </t>
  </si>
  <si>
    <t>30x30 cm cm</t>
  </si>
  <si>
    <t>drinnen oder Frühbeet</t>
  </si>
  <si>
    <t>Juni-Juli</t>
  </si>
  <si>
    <t>August-Oktober</t>
  </si>
  <si>
    <t>40x60 cm cm</t>
  </si>
  <si>
    <t>Honigmelone</t>
  </si>
  <si>
    <t>Ananas</t>
  </si>
  <si>
    <t>80x80 cm</t>
  </si>
  <si>
    <t>locker, humosreich, durchlässig</t>
  </si>
  <si>
    <t>regelmäßig gießen, alle zwei Wochen düngen</t>
  </si>
  <si>
    <t>Sand + Anzuchterde</t>
  </si>
  <si>
    <t>Kopfsalat</t>
  </si>
  <si>
    <t>Maikönig</t>
  </si>
  <si>
    <t>Januar-April
Juli</t>
  </si>
  <si>
    <t>Kokoserde</t>
  </si>
  <si>
    <t>10-15°C (Keinung)
12-16°C (Anzucht)</t>
  </si>
  <si>
    <t>beim Pflanzen Langzeitdünger ins Pflanzloch geben oder Kompost untermischen; danach nicht mehr düngen</t>
  </si>
  <si>
    <t>Februar-März
August-September</t>
  </si>
  <si>
    <t>durchlässig</t>
  </si>
  <si>
    <t>Pirat</t>
  </si>
  <si>
    <t>Februar-Juni</t>
  </si>
  <si>
    <t>ab Mai</t>
  </si>
  <si>
    <t>Endivien</t>
  </si>
  <si>
    <t>Escariol</t>
  </si>
  <si>
    <t>Juni-August</t>
  </si>
  <si>
    <t>September-Oktober</t>
  </si>
  <si>
    <t>locker, humos</t>
  </si>
  <si>
    <t>4x30 cm</t>
  </si>
  <si>
    <t>18-25°C</t>
  </si>
  <si>
    <t>Pflücksalat</t>
  </si>
  <si>
    <t>Amerikanischer brauner Pflücksalat</t>
  </si>
  <si>
    <t>4x25 cm</t>
  </si>
  <si>
    <t>Sora</t>
  </si>
  <si>
    <t>2x15 cm</t>
  </si>
  <si>
    <t>nicht zu trocken, sonst zu scharf</t>
  </si>
  <si>
    <t>Eiszapfen</t>
  </si>
  <si>
    <t>Februa-April</t>
  </si>
  <si>
    <t>25°C (Keimung)
20-25°C (Anzucht)</t>
  </si>
  <si>
    <t>sobald erste richtige Blätter kommen düngen</t>
  </si>
  <si>
    <t>locker, nährstoffreich</t>
  </si>
  <si>
    <t>eine Woche vor Aussaat Langzeitdünger in Boden einarbeiten
Sobald Früchte kommen regelmäßig düngen</t>
  </si>
  <si>
    <t>Pflanzloch mit Kompost oder Langzeitdünger vorbereiten</t>
  </si>
  <si>
    <t>Sanguigno 2</t>
  </si>
  <si>
    <t>10x40 cm</t>
  </si>
  <si>
    <t>Mai-Juli</t>
  </si>
  <si>
    <t>tiefgründig, kalkhaltig</t>
  </si>
  <si>
    <t>anhäufeln</t>
  </si>
  <si>
    <t>Calinaeo</t>
  </si>
  <si>
    <t>tiefgründig, nährstoffreich, kalkhaltig</t>
  </si>
  <si>
    <t>Pflanzloch mit Kompost oder Langzeitdünger vorbereiten
6 Wochen nach Pflanzung Flüssigdünger oder Brennesseljauche</t>
  </si>
  <si>
    <t>3x35 cm</t>
  </si>
  <si>
    <t>16-18°C</t>
  </si>
  <si>
    <t>humos, locker, sandig</t>
  </si>
  <si>
    <t>Februar-Juli</t>
  </si>
  <si>
    <t xml:space="preserve">Mischung </t>
  </si>
  <si>
    <t>September-November</t>
  </si>
  <si>
    <t>Zuckermais</t>
  </si>
  <si>
    <t>True Sweet Gold</t>
  </si>
  <si>
    <t>20x60 cm</t>
  </si>
  <si>
    <t>Wasser</t>
  </si>
  <si>
    <t>Mit der Spitze nach unten</t>
  </si>
  <si>
    <t>6-8 h</t>
  </si>
  <si>
    <t>3-4 cm</t>
  </si>
  <si>
    <t>lange rote stumpfe</t>
  </si>
  <si>
    <t>Lein</t>
  </si>
  <si>
    <t>Blauer</t>
  </si>
  <si>
    <t>ggf. Sand untermischen</t>
  </si>
  <si>
    <t>Stielmus</t>
  </si>
  <si>
    <t>Namenia</t>
  </si>
  <si>
    <t>Kürbis</t>
  </si>
  <si>
    <t>Gelber Zentner</t>
  </si>
  <si>
    <t>150 cm</t>
  </si>
  <si>
    <t>20-24°C (Keimung)
16-20°C (Anzucht)</t>
  </si>
  <si>
    <t>Ljubascha</t>
  </si>
  <si>
    <t>Morado</t>
  </si>
  <si>
    <t>Wintersteckzwiebel</t>
  </si>
  <si>
    <t>Radar</t>
  </si>
  <si>
    <t>Shakespear</t>
  </si>
  <si>
    <t>Oktober</t>
  </si>
  <si>
    <t>10x30 cm</t>
  </si>
  <si>
    <t>Mit Spitze nach oben</t>
  </si>
  <si>
    <t>durchlässig, ggf. mit Sand mischen</t>
  </si>
  <si>
    <t>eine Woche vor Pflanzung Kompost einarbeiten
April-Mai 1-2 Mal mit verdünnter Brennesseljauche düngen</t>
  </si>
  <si>
    <t>Juli-Septmeber</t>
  </si>
  <si>
    <t>wenn Teile der Blätter gelb werden ist er reif</t>
  </si>
  <si>
    <t>falls Frost ohne Schnee kommt, etwas anhäufeln und mit Reisig abdecken</t>
  </si>
  <si>
    <t>Kartoffeln</t>
  </si>
  <si>
    <t>Menge</t>
  </si>
  <si>
    <t>2025</t>
  </si>
  <si>
    <t>Rhabarber</t>
  </si>
  <si>
    <t>Monat der (letzten) Ernte</t>
  </si>
  <si>
    <t>Dauer Aussaat bis Ernte</t>
  </si>
  <si>
    <t>90 Tage</t>
  </si>
  <si>
    <t>6-8 Wochen</t>
  </si>
  <si>
    <t>?</t>
  </si>
  <si>
    <t>1 Reihe</t>
  </si>
  <si>
    <t>Pflanzkartoffelsortiment 4
Unsere Beliebtesten</t>
  </si>
  <si>
    <t>Am Fenster</t>
  </si>
  <si>
    <t xml:space="preserve">
1 Monat</t>
  </si>
  <si>
    <t>48h bei 20°C aufwecken, dann bei 10-15°C</t>
  </si>
  <si>
    <t>Knollendicke = Pflanztiefe</t>
  </si>
  <si>
    <t>30x75 cm</t>
  </si>
  <si>
    <t>anhäufeln, mit Kompost und/oder Hornspäne düngen</t>
  </si>
  <si>
    <t>Bemerkung</t>
  </si>
  <si>
    <t>1 Monat vorkeimen</t>
  </si>
  <si>
    <t>Himbeeren</t>
  </si>
  <si>
    <t>Physalis</t>
  </si>
  <si>
    <t>Dulceria</t>
  </si>
  <si>
    <t>25°C (Keimung)</t>
  </si>
  <si>
    <t>Juli-November</t>
  </si>
  <si>
    <t>30x15 cm</t>
  </si>
  <si>
    <t>30x10 cm</t>
  </si>
  <si>
    <t>Anzuchtzeitraum</t>
  </si>
  <si>
    <t>Spalte2</t>
  </si>
  <si>
    <t>Vorkeimen</t>
  </si>
  <si>
    <t>Chilli</t>
  </si>
  <si>
    <t>Haus Paprika</t>
  </si>
  <si>
    <t>Gochugaru (North Korean)</t>
  </si>
  <si>
    <t>Pflanzzeitraum</t>
  </si>
  <si>
    <t>Pflanzzeitpunkt</t>
  </si>
  <si>
    <t>Anzuchtorte</t>
  </si>
  <si>
    <t>Januar</t>
  </si>
  <si>
    <t>Juni</t>
  </si>
  <si>
    <t>Juli</t>
  </si>
  <si>
    <t>August</t>
  </si>
  <si>
    <t>Anzuchtort</t>
  </si>
  <si>
    <t>Stuttgarter Riesen</t>
  </si>
  <si>
    <t>Ende März - Anfang April</t>
  </si>
  <si>
    <t>so, dass oberes Drittel noch rauschaut</t>
  </si>
  <si>
    <t>Zwiebeln</t>
  </si>
  <si>
    <t>Black Beauty</t>
  </si>
  <si>
    <t>Marketmore</t>
  </si>
  <si>
    <t>Juli -September</t>
  </si>
  <si>
    <t>Bok Choy</t>
  </si>
  <si>
    <t>Brassica Rappa var. Chinesis</t>
  </si>
  <si>
    <t>Februar-Oktober</t>
  </si>
  <si>
    <t>Pepperoni Pagels</t>
  </si>
  <si>
    <t>Elefonatenrüssel</t>
  </si>
  <si>
    <t>50x40 cm</t>
  </si>
  <si>
    <t>mild bis leicht scharf</t>
  </si>
  <si>
    <t>April-November</t>
  </si>
  <si>
    <t>Liguria</t>
  </si>
  <si>
    <t>Januar - April</t>
  </si>
  <si>
    <t>20-24°C</t>
  </si>
  <si>
    <t>60x50 cm</t>
  </si>
  <si>
    <t>Ochsenherz</t>
  </si>
  <si>
    <t>20-22°C</t>
  </si>
  <si>
    <t>65x65 cm</t>
  </si>
  <si>
    <t>Märchengranat</t>
  </si>
  <si>
    <t>25-29°C</t>
  </si>
  <si>
    <t>Black Roma</t>
  </si>
  <si>
    <t>Soja</t>
  </si>
  <si>
    <t>Chiba Green</t>
  </si>
  <si>
    <t>min. 12°C</t>
  </si>
  <si>
    <t>4 cm</t>
  </si>
  <si>
    <t>30x50 cm</t>
  </si>
  <si>
    <t>Edamame</t>
  </si>
  <si>
    <t>Rotkohl</t>
  </si>
  <si>
    <t>Rodyna</t>
  </si>
  <si>
    <t>Spalte1</t>
  </si>
  <si>
    <t>Salat</t>
  </si>
  <si>
    <t>n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</si>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</sst>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 tint="0.79998168889431442"/>
      </patternFill>
    </fill>
    <fill>
      <patternFill patternType="solid">
        <fgColor theme="9"/>
        <bgColor theme="9" tint="0.59999389629810485"/>
      </patternFill>
    </fill>
  </fills>
  <borders count="5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wrapText="1"/>
    </xf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0" fillId="0" borderId="0" xfId="0" applyAlignment="1">
      <alignment textRotation="90" wrapText="1"/>
    </xf>
    <xf numFmtId="0" fontId="0" fillId="0" borderId="0" xfId="0" quotePrefix="1" applyAlignment="1">
      <alignment wrapText="1"/>
    </xf>
    <xf numFmtId="0" fontId="1" fillId="3" borderId="0" xfId="0" applyFont="1" applyFill="1"/>
    <xf numFmtId="0" fontId="1" fillId="4" borderId="3" xfId="0" applyFont="1" applyFill="1" applyBorder="1" applyAlignment="1">
      <alignment wrapText="1"/>
    </xf>
    <xf numFmtId="0" fontId="1" fillId="5" borderId="3" xfId="0" applyFont="1" applyFill="1" applyBorder="1" applyAlignment="1">
      <alignment wrapText="1"/>
    </xf>
    <xf numFmtId="0" fontId="1" fillId="4" borderId="4" xfId="0" applyFont="1" applyFill="1" applyBorder="1" applyAlignment="1">
      <alignment wrapText="1"/>
    </xf>
    <xf numFmtId="0" fontId="1" fillId="3" borderId="0" xfId="0" applyFont="1" applyFill="1" applyAlignment="1">
      <alignment textRotation="90"/>
    </xf>
    <xf numFmtId="0" fontId="0" fillId="4" borderId="3" xfId="0" applyFont="1" applyFill="1" applyBorder="1" applyAlignment="1">
      <alignment textRotation="90" wrapText="1"/>
    </xf>
    <xf numFmtId="0" fontId="0" fillId="5" borderId="3" xfId="0" applyFont="1" applyFill="1" applyBorder="1" applyAlignment="1">
      <alignment textRotation="90" wrapText="1"/>
    </xf>
    <xf numFmtId="0" fontId="0" fillId="4" borderId="4" xfId="0" applyFont="1" applyFill="1" applyBorder="1" applyAlignment="1">
      <alignment textRotation="90" wrapText="1"/>
    </xf>
    <xf numFmtId="0" fontId="0" fillId="0" borderId="0" xfId="0" applyAlignment="1">
      <alignment textRotation="90"/>
    </xf>
  </cellXfs>
  <cellStyles count="1">
    <cellStyle name="Standard" xfId="0" builtinId="0"/>
  </cellStyles>
  <dxfs count="59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>
          <bgColor theme="9"/>
        </patternFill>
      </fill>
    </dxf>
    <dxf>
      <fill>
        <patternFill>
          <bgColor theme="9"/>
        </patternFill>
      </fill>
      <alignment horizontal="general" vertical="bottom" textRotation="9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7027D2-3632-4BC0-B841-683EFE4D0874}" name="Datenbank" displayName="Datenbank" ref="A1:T85" totalsRowShown="0" headerRowDxfId="58" dataDxfId="56" headerRowBorderDxfId="57">
  <autoFilter ref="A1:T85" xr:uid="{247027D2-3632-4BC0-B841-683EFE4D0874}"/>
  <sortState xmlns:xlrd2="http://schemas.microsoft.com/office/spreadsheetml/2017/richdata2" ref="A2:T85">
    <sortCondition ref="A1:A85"/>
  </sortState>
  <tableColumns count="20">
    <tableColumn id="1" xr3:uid="{D4ABA9E6-2029-4DD9-8841-D38B73FEA910}" name="Art" dataDxfId="55"/>
    <tableColumn id="2" xr3:uid="{2A261CAA-19AE-442F-9590-A29FF14A4FDE}" name="Sorte" dataDxfId="54"/>
    <tableColumn id="3" xr3:uid="{A95F50FF-CBD3-4913-9A6F-AFF5BD5371A0}" name="Anzucht-Zeit" dataDxfId="53"/>
    <tableColumn id="4" xr3:uid="{A10A5E17-399D-41D2-85C7-422946E34B19}" name="Anzucht-Ort" dataDxfId="52"/>
    <tableColumn id="5" xr3:uid="{A5DF23BB-DD82-4287-BDBD-96EA0494D412}" name="Vorkeimen?" dataDxfId="51"/>
    <tableColumn id="6" xr3:uid="{578E19BB-1C6F-47EB-8FD6-32BD3701E426}" name="Vorkeim-Art" dataDxfId="50"/>
    <tableColumn id="7" xr3:uid="{30EC7917-D3C1-4659-B94A-2C7420B842C5}" name="Vorkeim-Dauer" dataDxfId="49"/>
    <tableColumn id="8" xr3:uid="{4BA8C3DC-9AE6-4C88-9436-32A565CE6C61}" name="Keimtemperatur" dataDxfId="48"/>
    <tableColumn id="9" xr3:uid="{CC480A9F-79FD-46E7-AAE6-C2C52ECF76A9}" name="Aussaattiefe" dataDxfId="47"/>
    <tableColumn id="10" xr3:uid="{132B63D4-953A-4914-8F4C-28E8681F493F}" name="Erde (Anzucht)" dataDxfId="46"/>
    <tableColumn id="11" xr3:uid="{4E376FA8-BE36-4370-AF19-63911124FED4}" name="Pflege (Anzucht)" dataDxfId="45"/>
    <tableColumn id="12" xr3:uid="{D75E23C9-AED8-4AF8-994F-4BC9C06AC4DA}" name="Pflanzzeit" dataDxfId="44"/>
    <tableColumn id="18" xr3:uid="{BAA52E46-5C86-46EA-BACD-1A47EB2B01E5}" name="Abstand" dataDxfId="43"/>
    <tableColumn id="13" xr3:uid="{8997BEB9-1A37-474C-B177-27E2ECC4AE0F}" name="Erde (Auspflanzung)" dataDxfId="42"/>
    <tableColumn id="14" xr3:uid="{64437046-231B-40C8-93EE-48957526F937}" name="Standort" dataDxfId="41"/>
    <tableColumn id="15" xr3:uid="{9F46D712-E6F1-47FE-A042-87808350A29E}" name="Pflege" dataDxfId="40"/>
    <tableColumn id="20" xr3:uid="{3B55E3A8-06DF-4B38-9180-AA2832283F3F}" name="Dauer Aussaat bis Ernte" dataDxfId="39"/>
    <tableColumn id="16" xr3:uid="{157F5249-1CFC-4255-BDDC-2164EE0C33B1}" name="Erntezeit" dataDxfId="38"/>
    <tableColumn id="17" xr3:uid="{234EF083-7B51-4D4B-ACE3-B313F3F39BB5}" name="Kommentar" dataDxfId="37"/>
    <tableColumn id="19" xr3:uid="{BBC83E2B-6685-4D6B-ADF6-6B67A7752678}" name="2025" dataDxfId="36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FBD939-D502-4347-9378-E94845A85502}" name="Tabelle3" displayName="Tabelle3" ref="A1:AD1048520" totalsRowShown="0" headerRowDxfId="35">
  <autoFilter ref="A1:AD1048520" xr:uid="{A4FBD939-D502-4347-9378-E94845A85502}"/>
  <tableColumns count="30">
    <tableColumn id="1" xr3:uid="{405D17CF-5DBF-42AC-BA6C-DC983E05F250}" name="Spalte1" dataDxfId="34"/>
    <tableColumn id="2" xr3:uid="{D278F492-DC53-4962-B84B-233355867C82}" name="Blumenkohl"/>
    <tableColumn id="4" xr3:uid="{A8F3DC99-F781-4E5D-9452-4CBBCD019055}" name="Bok Choy"/>
    <tableColumn id="5" xr3:uid="{A8338D53-50E0-440D-A6B0-914264DE24FF}" name="Borretsch"/>
    <tableColumn id="6" xr3:uid="{39AB1F97-6F72-47C3-8668-F1C1C4DA0777}" name="Brokkoli"/>
    <tableColumn id="7" xr3:uid="{5A9E39E5-3E1B-4017-91DB-861B1E194DA5}" name="Buschbohne"/>
    <tableColumn id="8" xr3:uid="{C813C9AF-1012-44D2-B032-F38C3A8C0F35}" name="Chilli"/>
    <tableColumn id="9" xr3:uid="{94F3873E-69D3-49A4-ADF4-1DCED8D3A67E}" name="Einlegegurke"/>
    <tableColumn id="10" xr3:uid="{0F8F333D-CA5D-47CD-9F30-22FE39F1C86F}" name="Grünkohl"/>
    <tableColumn id="11" xr3:uid="{0D99D74E-2238-416F-AA5D-D27FEF02BFB4}" name="Gurke"/>
    <tableColumn id="12" xr3:uid="{1C64CE88-FA33-4E90-B336-BFCDE77CEA17}" name="Honigmelone"/>
    <tableColumn id="13" xr3:uid="{F9661E36-294A-457A-AE3E-072880F407FF}" name="Kartoffeln"/>
    <tableColumn id="14" xr3:uid="{78A944A6-D8CB-4669-81D7-6BA645030CDF}" name="Knoblauch"/>
    <tableColumn id="15" xr3:uid="{B89EE31D-161B-4CD8-99C7-109A2BE24526}" name="Kohlrabi"/>
    <tableColumn id="16" xr3:uid="{1FD803F5-461F-4F95-8CED-26B2A4A61111}" name="Kürbis"/>
    <tableColumn id="17" xr3:uid="{F95AA313-9DBF-499A-B6B8-B88BCA535937}" name="Möhre"/>
    <tableColumn id="18" xr3:uid="{9F6B0D40-DCE2-4F99-85E7-DD0311ED601C}" name="Paprika"/>
    <tableColumn id="19" xr3:uid="{38497EAF-F9A4-4353-B6DD-3F5CAE4B8C48}" name="Salat"/>
    <tableColumn id="20" xr3:uid="{32480A44-6E64-40F4-BCA2-1AA1807BF20C}" name="Physalis"/>
    <tableColumn id="21" xr3:uid="{BE0F16B7-EB06-41EF-92C8-D90D7DABA23B}" name="Porree"/>
    <tableColumn id="22" xr3:uid="{6F19A78B-57D0-4BE4-A055-F2B6505A5D3F}" name="Radieschen"/>
    <tableColumn id="23" xr3:uid="{D856D904-0A14-422F-97E4-899EF6E8561A}" name="Rote Bete"/>
    <tableColumn id="24" xr3:uid="{E2559617-76DE-4748-85D6-AB2F5921281A}" name="Rotkohl"/>
    <tableColumn id="25" xr3:uid="{BD57249B-A61D-46B3-8DFC-9E36C073EBC9}" name="Soja"/>
    <tableColumn id="26" xr3:uid="{3301C1A4-BC50-4D1B-9C6D-2BFB37AD15E0}" name="Spinat"/>
    <tableColumn id="27" xr3:uid="{13A21A29-A530-400A-BBA5-CD370AD7A948}" name="Stangensellerie"/>
    <tableColumn id="28" xr3:uid="{53637F9B-4894-414B-B7B8-7C93D59D3E24}" name="Tomate"/>
    <tableColumn id="29" xr3:uid="{F6135BC9-849D-419A-87DD-C5BDCC369905}" name="Zucchini"/>
    <tableColumn id="30" xr3:uid="{055B5A56-1097-4ACC-ACFA-50C05C0BE7AE}" name="Zuckermais"/>
    <tableColumn id="31" xr3:uid="{84A50F27-9388-4731-A654-353A180C97A6}" name="Zwiebeln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D354EB-45EE-4EFF-A2A7-31072FFA8C56}" name="Tabelle1" displayName="Tabelle1" ref="A1:L72" totalsRowShown="0" headerRowDxfId="33" dataDxfId="32">
  <autoFilter ref="A1:L72" xr:uid="{2ED354EB-45EE-4EFF-A2A7-31072FFA8C56}"/>
  <sortState xmlns:xlrd2="http://schemas.microsoft.com/office/spreadsheetml/2017/richdata2" ref="A2:L72">
    <sortCondition ref="E1:E72"/>
  </sortState>
  <tableColumns count="12">
    <tableColumn id="1" xr3:uid="{03982989-4BCB-4F3C-8B8D-D254159598F4}" name="Was" dataDxfId="31"/>
    <tableColumn id="2" xr3:uid="{EED108DD-66E7-410C-B47A-6E4E7913370D}" name="Sorte" dataDxfId="30"/>
    <tableColumn id="3" xr3:uid="{EC6D2089-5E2B-43DC-A38E-264517A766D8}" name="Gekauft" dataDxfId="29"/>
    <tableColumn id="4" xr3:uid="{65088008-CB57-48C7-AA9D-2194F303CF44}" name="Menge" dataDxfId="28"/>
    <tableColumn id="13" xr3:uid="{4CB6B206-365B-40F6-8829-3DCB6DEB4078}" name="Monat der Anzucht" dataDxfId="27"/>
    <tableColumn id="12" xr3:uid="{565ABB15-AD3E-4B41-8CC3-10C4060E5918}" name="Anzuchtzeitpunkt im Monat" dataDxfId="26"/>
    <tableColumn id="7" xr3:uid="{D588AF41-8DF7-41A3-8893-006D377525DB}" name="x" dataDxfId="25"/>
    <tableColumn id="5" xr3:uid="{85E86848-12A4-4081-93C7-2BE2B4BCB2CE}" name="Monat der Pflanzung" dataDxfId="24"/>
    <tableColumn id="6" xr3:uid="{BEB65398-91D7-480E-8A49-CCDB7705ED46}" name="Pflanz-zeitpunkt im Monat" dataDxfId="23"/>
    <tableColumn id="17" xr3:uid="{2B90280E-7F78-4FC8-9AA9-E86A1F6FA01D}" name="x2" dataDxfId="22"/>
    <tableColumn id="8" xr3:uid="{B8F4D717-0F32-4C5D-A2C1-663465186A2D}" name="Monat der (letzten) Ernte" dataDxfId="21"/>
    <tableColumn id="9" xr3:uid="{EB7990EF-29DC-44CB-93F4-C73F5B7C572D}" name="Bemerkung" dataDxfId="20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43E09D-5977-4417-B108-D5DDB1D704E6}" name="Tabelle13" displayName="Tabelle13" ref="A1:R72" totalsRowShown="0" headerRowDxfId="19" dataDxfId="18">
  <autoFilter ref="A1:R72" xr:uid="{2ED354EB-45EE-4EFF-A2A7-31072FFA8C56}">
    <filterColumn colId="9">
      <filters>
        <filter val="März"/>
      </filters>
    </filterColumn>
  </autoFilter>
  <sortState xmlns:xlrd2="http://schemas.microsoft.com/office/spreadsheetml/2017/richdata2" ref="A2:R72">
    <sortCondition ref="A1:A72"/>
  </sortState>
  <tableColumns count="18">
    <tableColumn id="1" xr3:uid="{347D18DE-BC08-4F33-9879-B154A7FF5014}" name="Was" dataDxfId="17"/>
    <tableColumn id="2" xr3:uid="{28BE1EC5-2473-4468-A60E-328A0BA94563}" name="Sorte" dataDxfId="16"/>
    <tableColumn id="3" xr3:uid="{225560C6-B728-457F-89F7-D4CAFB475137}" name="Gekauft" dataDxfId="15"/>
    <tableColumn id="4" xr3:uid="{4AF024E2-807B-48B5-86CC-84DB335AA937}" name="Menge" dataDxfId="14"/>
    <tableColumn id="16" xr3:uid="{A2976B87-478F-440E-A8A2-18C172BCC4D9}" name="Abstand" dataDxfId="13">
      <calculatedColumnFormula>VLOOKUP(Tabelle13[[#This Row],[Sorte]],Anzuchtdatenbank!B:M,12,FALSE)</calculatedColumnFormula>
    </tableColumn>
    <tableColumn id="10" xr3:uid="{68D4FDFF-13FC-415A-BD0E-642895803A20}" name="Anzuchtzeitraum" dataDxfId="12">
      <calculatedColumnFormula>VLOOKUP(Tabelle13[[#This Row],[Sorte]],Datenbank[[Sorte]:[Anzucht-Zeit]],2,FALSE)</calculatedColumnFormula>
    </tableColumn>
    <tableColumn id="18" xr3:uid="{B871BF06-D12F-4874-84FB-BFA4EE0C3089}" name="Anzuchtorte" dataDxfId="11">
      <calculatedColumnFormula>VLOOKUP(Tabelle13[[#This Row],[Sorte]],Anzuchtdatenbank!B:I,3,FALSE)</calculatedColumnFormula>
    </tableColumn>
    <tableColumn id="14" xr3:uid="{7F62750C-72CF-4746-8145-07B9AE18EC95}" name="Vorkeimen" dataDxfId="10">
      <calculatedColumnFormula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calculatedColumnFormula>
    </tableColumn>
    <tableColumn id="11" xr3:uid="{91C4FADA-23EA-4BAA-8E01-E971AC5CCF4C}" name="Aussaattiefe" dataDxfId="9">
      <calculatedColumnFormula>VLOOKUP(Tabelle13[[#This Row],[Sorte]],Anzuchtdatenbank!B:I,8,FALSE)</calculatedColumnFormula>
    </tableColumn>
    <tableColumn id="13" xr3:uid="{19ACD429-C4A2-414F-8D9F-955D8D962342}" name="Monat der Anzucht" dataDxfId="8"/>
    <tableColumn id="19" xr3:uid="{1EAFACAA-F137-4E69-BCE4-AEA56AB62703}" name="Anzuchtort" dataDxfId="7"/>
    <tableColumn id="7" xr3:uid="{72B5414F-BC6D-477C-9F7D-EEF7D41D7F2F}" name="x" dataDxfId="6"/>
    <tableColumn id="5" xr3:uid="{68CA8DC2-FA93-4968-B5FF-009CF11F21A8}" name="Pflanzzeitraum" dataDxfId="5">
      <calculatedColumnFormula>VLOOKUP(Tabelle13[[#This Row],[Sorte]],Anzuchtdatenbank!B:M,11,FALSE)</calculatedColumnFormula>
    </tableColumn>
    <tableColumn id="6" xr3:uid="{3E8DF569-88EA-4575-89A3-9F3766D0C1D5}" name="Pflanzzeitpunkt" dataDxfId="4"/>
    <tableColumn id="17" xr3:uid="{31D9E1D2-32EE-4922-971F-D3A37D9A1CA1}" name="x2" dataDxfId="3"/>
    <tableColumn id="8" xr3:uid="{F67BE3FA-0689-4049-A87C-59D8A029C520}" name="Monat der (letzten) Ernte" dataDxfId="2"/>
    <tableColumn id="9" xr3:uid="{71A075CF-1216-4C27-AA01-80A3BDA0AE43}" name="Bemerkung" dataDxfId="1"/>
    <tableColumn id="15" xr3:uid="{CB7EE591-4B52-44A1-8A7E-82436802F2EC}" name="Spalte2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AC885-AD0A-42C5-B617-1E216D0D2DDC}">
  <sheetPr codeName="Tabelle1"/>
  <dimension ref="A1:T85"/>
  <sheetViews>
    <sheetView topLeftCell="A4" zoomScale="90" zoomScaleNormal="85" workbookViewId="0">
      <selection activeCell="A2" sqref="A2:A85"/>
    </sheetView>
  </sheetViews>
  <sheetFormatPr baseColWidth="10" defaultColWidth="11" defaultRowHeight="15.75" x14ac:dyDescent="0.25"/>
  <cols>
    <col min="1" max="1" width="16.25" style="1" customWidth="1"/>
    <col min="2" max="2" width="22.25" style="1" customWidth="1"/>
    <col min="3" max="3" width="16.5" style="1" customWidth="1"/>
    <col min="4" max="4" width="20.375" style="1" customWidth="1"/>
    <col min="5" max="5" width="12.875" style="1" customWidth="1"/>
    <col min="6" max="6" width="13.25" style="1" customWidth="1"/>
    <col min="7" max="7" width="19.75" style="1" customWidth="1"/>
    <col min="8" max="8" width="16.875" style="1" customWidth="1"/>
    <col min="9" max="9" width="15.375" style="1" customWidth="1"/>
    <col min="10" max="10" width="21.375" style="1" customWidth="1"/>
    <col min="11" max="11" width="30.25" style="1" customWidth="1"/>
    <col min="12" max="12" width="12.625" style="1" customWidth="1"/>
    <col min="13" max="13" width="10.875" style="1" customWidth="1"/>
    <col min="14" max="14" width="30.5" style="1" customWidth="1"/>
    <col min="15" max="15" width="13" style="1" customWidth="1"/>
    <col min="16" max="16" width="34.875" style="1" customWidth="1"/>
    <col min="17" max="17" width="22.625" style="1" customWidth="1"/>
    <col min="18" max="18" width="13.5" style="1" customWidth="1"/>
    <col min="19" max="19" width="52.5" style="1" customWidth="1"/>
    <col min="20" max="16384" width="11" style="1"/>
  </cols>
  <sheetData>
    <row r="1" spans="1:20" ht="16.5" thickBot="1" x14ac:dyDescent="0.3">
      <c r="A1" s="2" t="s">
        <v>70</v>
      </c>
      <c r="B1" s="3" t="s">
        <v>19</v>
      </c>
      <c r="C1" s="3" t="s">
        <v>74</v>
      </c>
      <c r="D1" s="3" t="s">
        <v>75</v>
      </c>
      <c r="E1" s="3" t="s">
        <v>71</v>
      </c>
      <c r="F1" s="3" t="s">
        <v>72</v>
      </c>
      <c r="G1" s="3" t="s">
        <v>73</v>
      </c>
      <c r="H1" s="3" t="s">
        <v>21</v>
      </c>
      <c r="I1" s="3" t="s">
        <v>20</v>
      </c>
      <c r="J1" s="3" t="s">
        <v>76</v>
      </c>
      <c r="K1" s="3" t="s">
        <v>77</v>
      </c>
      <c r="L1" s="3" t="s">
        <v>78</v>
      </c>
      <c r="M1" s="3" t="s">
        <v>85</v>
      </c>
      <c r="N1" s="3" t="s">
        <v>80</v>
      </c>
      <c r="O1" s="3" t="s">
        <v>81</v>
      </c>
      <c r="P1" s="3" t="s">
        <v>82</v>
      </c>
      <c r="Q1" s="3" t="s">
        <v>380</v>
      </c>
      <c r="R1" s="3" t="s">
        <v>79</v>
      </c>
      <c r="S1" s="3" t="s">
        <v>65</v>
      </c>
      <c r="T1" s="3" t="s">
        <v>377</v>
      </c>
    </row>
    <row r="2" spans="1:20" ht="16.5" thickTop="1" x14ac:dyDescent="0.25">
      <c r="A2" s="1" t="s">
        <v>13</v>
      </c>
      <c r="B2" s="1" t="s">
        <v>196</v>
      </c>
      <c r="C2" s="1" t="s">
        <v>123</v>
      </c>
      <c r="D2" s="1" t="s">
        <v>179</v>
      </c>
      <c r="E2" s="1" t="s">
        <v>90</v>
      </c>
      <c r="H2" s="1" t="s">
        <v>200</v>
      </c>
      <c r="I2" s="1" t="s">
        <v>53</v>
      </c>
      <c r="J2" s="1" t="s">
        <v>6</v>
      </c>
      <c r="L2" s="1" t="s">
        <v>197</v>
      </c>
      <c r="M2" s="1" t="s">
        <v>199</v>
      </c>
      <c r="N2" s="1" t="s">
        <v>173</v>
      </c>
      <c r="O2" s="1" t="s">
        <v>8</v>
      </c>
      <c r="R2" s="1" t="s">
        <v>116</v>
      </c>
      <c r="T2" s="1" t="s">
        <v>60</v>
      </c>
    </row>
    <row r="3" spans="1:20" ht="47.25" x14ac:dyDescent="0.25">
      <c r="A3" s="1" t="s">
        <v>156</v>
      </c>
      <c r="C3" s="1" t="s">
        <v>144</v>
      </c>
      <c r="D3" s="1" t="s">
        <v>158</v>
      </c>
      <c r="E3" s="1" t="s">
        <v>97</v>
      </c>
      <c r="F3" s="1" t="s">
        <v>159</v>
      </c>
      <c r="G3" s="1" t="s">
        <v>245</v>
      </c>
      <c r="H3" s="1" t="s">
        <v>110</v>
      </c>
      <c r="I3" s="1" t="s">
        <v>161</v>
      </c>
      <c r="J3" s="1" t="s">
        <v>6</v>
      </c>
      <c r="L3" s="1" t="s">
        <v>150</v>
      </c>
      <c r="M3" s="1" t="s">
        <v>157</v>
      </c>
      <c r="N3" s="1" t="s">
        <v>160</v>
      </c>
      <c r="O3" s="1" t="s">
        <v>8</v>
      </c>
      <c r="R3" s="1" t="s">
        <v>130</v>
      </c>
    </row>
    <row r="4" spans="1:20" x14ac:dyDescent="0.25">
      <c r="A4" s="1" t="s">
        <v>68</v>
      </c>
      <c r="B4" s="1" t="s">
        <v>206</v>
      </c>
      <c r="C4" s="1" t="s">
        <v>178</v>
      </c>
      <c r="D4" s="1" t="s">
        <v>147</v>
      </c>
      <c r="H4" s="1" t="s">
        <v>146</v>
      </c>
      <c r="I4" s="1" t="s">
        <v>18</v>
      </c>
      <c r="M4" s="1" t="s">
        <v>207</v>
      </c>
      <c r="N4" s="1" t="s">
        <v>208</v>
      </c>
      <c r="O4" s="1" t="s">
        <v>8</v>
      </c>
      <c r="R4" s="1" t="s">
        <v>124</v>
      </c>
    </row>
    <row r="5" spans="1:20" ht="78.75" x14ac:dyDescent="0.25">
      <c r="A5" s="1" t="s">
        <v>22</v>
      </c>
      <c r="B5" s="1" t="s">
        <v>236</v>
      </c>
      <c r="C5" s="1" t="s">
        <v>132</v>
      </c>
      <c r="D5" s="1" t="s">
        <v>237</v>
      </c>
      <c r="E5" s="1" t="s">
        <v>90</v>
      </c>
      <c r="H5" s="1" t="s">
        <v>239</v>
      </c>
      <c r="I5" s="1" t="s">
        <v>12</v>
      </c>
      <c r="J5" s="1" t="s">
        <v>6</v>
      </c>
      <c r="M5" s="1" t="s">
        <v>216</v>
      </c>
      <c r="N5" s="1" t="s">
        <v>238</v>
      </c>
      <c r="O5" s="1" t="s">
        <v>118</v>
      </c>
      <c r="P5" s="1" t="s">
        <v>240</v>
      </c>
      <c r="Q5" s="1" t="s">
        <v>381</v>
      </c>
      <c r="R5" s="1" t="s">
        <v>230</v>
      </c>
      <c r="S5" s="1" t="s">
        <v>241</v>
      </c>
      <c r="T5" s="1" t="s">
        <v>60</v>
      </c>
    </row>
    <row r="6" spans="1:20" ht="78.75" x14ac:dyDescent="0.25">
      <c r="A6" s="1" t="s">
        <v>22</v>
      </c>
      <c r="B6" s="1" t="s">
        <v>23</v>
      </c>
      <c r="C6" s="1" t="s">
        <v>270</v>
      </c>
      <c r="D6" s="1" t="s">
        <v>179</v>
      </c>
      <c r="E6" s="1" t="s">
        <v>90</v>
      </c>
      <c r="H6" s="1" t="s">
        <v>239</v>
      </c>
      <c r="I6" s="1" t="s">
        <v>12</v>
      </c>
      <c r="J6" s="1" t="s">
        <v>6</v>
      </c>
      <c r="L6" s="1" t="s">
        <v>123</v>
      </c>
      <c r="M6" s="1" t="s">
        <v>216</v>
      </c>
      <c r="N6" s="1" t="s">
        <v>238</v>
      </c>
      <c r="O6" s="1" t="s">
        <v>118</v>
      </c>
      <c r="P6" s="1" t="s">
        <v>240</v>
      </c>
      <c r="R6" s="1" t="s">
        <v>291</v>
      </c>
      <c r="S6" s="1" t="s">
        <v>241</v>
      </c>
    </row>
    <row r="7" spans="1:20" ht="31.5" x14ac:dyDescent="0.25">
      <c r="A7" s="1" t="s">
        <v>422</v>
      </c>
      <c r="B7" s="1" t="s">
        <v>423</v>
      </c>
      <c r="C7" s="1" t="s">
        <v>424</v>
      </c>
      <c r="D7" s="1" t="s">
        <v>147</v>
      </c>
      <c r="E7" s="1" t="s">
        <v>90</v>
      </c>
      <c r="I7" s="1" t="s">
        <v>50</v>
      </c>
      <c r="M7" s="1" t="s">
        <v>284</v>
      </c>
      <c r="N7" s="1" t="s">
        <v>328</v>
      </c>
      <c r="O7" s="1" t="s">
        <v>118</v>
      </c>
      <c r="R7" s="1" t="s">
        <v>429</v>
      </c>
    </row>
    <row r="8" spans="1:20" ht="31.5" x14ac:dyDescent="0.25">
      <c r="A8" s="1" t="s">
        <v>162</v>
      </c>
      <c r="C8" s="1" t="s">
        <v>163</v>
      </c>
      <c r="D8" s="1" t="s">
        <v>147</v>
      </c>
      <c r="E8" s="1" t="s">
        <v>90</v>
      </c>
      <c r="H8" s="1" t="s">
        <v>136</v>
      </c>
      <c r="I8" s="1" t="s">
        <v>166</v>
      </c>
      <c r="M8" s="1" t="s">
        <v>164</v>
      </c>
      <c r="N8" s="1" t="s">
        <v>165</v>
      </c>
      <c r="O8" s="1" t="s">
        <v>118</v>
      </c>
      <c r="R8" s="1" t="s">
        <v>116</v>
      </c>
    </row>
    <row r="9" spans="1:20" ht="63" x14ac:dyDescent="0.25">
      <c r="A9" s="1" t="s">
        <v>24</v>
      </c>
      <c r="B9" s="1" t="s">
        <v>336</v>
      </c>
      <c r="C9" s="1" t="s">
        <v>197</v>
      </c>
      <c r="D9" s="1" t="s">
        <v>179</v>
      </c>
      <c r="H9" s="1" t="s">
        <v>110</v>
      </c>
      <c r="I9" s="1" t="s">
        <v>12</v>
      </c>
      <c r="J9" s="1" t="s">
        <v>6</v>
      </c>
      <c r="L9" s="1" t="s">
        <v>89</v>
      </c>
      <c r="M9" s="1" t="s">
        <v>216</v>
      </c>
      <c r="N9" s="1" t="s">
        <v>337</v>
      </c>
      <c r="O9" s="1" t="s">
        <v>8</v>
      </c>
      <c r="P9" s="1" t="s">
        <v>338</v>
      </c>
      <c r="R9" s="1" t="s">
        <v>258</v>
      </c>
    </row>
    <row r="10" spans="1:20" ht="31.5" x14ac:dyDescent="0.25">
      <c r="A10" s="1" t="s">
        <v>39</v>
      </c>
      <c r="B10" s="1" t="s">
        <v>331</v>
      </c>
      <c r="C10" s="1" t="s">
        <v>333</v>
      </c>
      <c r="D10" s="1" t="s">
        <v>147</v>
      </c>
      <c r="E10" s="1" t="s">
        <v>90</v>
      </c>
      <c r="I10" s="1" t="s">
        <v>50</v>
      </c>
      <c r="M10" s="1" t="s">
        <v>332</v>
      </c>
      <c r="N10" s="1" t="s">
        <v>334</v>
      </c>
      <c r="O10" s="1" t="s">
        <v>118</v>
      </c>
      <c r="P10" s="1" t="s">
        <v>335</v>
      </c>
      <c r="R10" s="1" t="s">
        <v>230</v>
      </c>
    </row>
    <row r="11" spans="1:20" ht="31.5" x14ac:dyDescent="0.25">
      <c r="A11" s="1" t="s">
        <v>404</v>
      </c>
      <c r="B11" s="1" t="s">
        <v>62</v>
      </c>
      <c r="C11" s="1" t="s">
        <v>3</v>
      </c>
      <c r="D11" s="1" t="s">
        <v>179</v>
      </c>
      <c r="E11" s="1" t="s">
        <v>97</v>
      </c>
      <c r="F11" s="1" t="s">
        <v>105</v>
      </c>
      <c r="G11" s="1" t="s">
        <v>226</v>
      </c>
      <c r="H11" s="1" t="s">
        <v>217</v>
      </c>
      <c r="I11" s="1" t="s">
        <v>12</v>
      </c>
      <c r="J11" s="1" t="s">
        <v>6</v>
      </c>
      <c r="K11" s="1" t="s">
        <v>218</v>
      </c>
      <c r="L11" s="1" t="s">
        <v>89</v>
      </c>
      <c r="M11" s="1" t="s">
        <v>216</v>
      </c>
      <c r="N11" s="1" t="s">
        <v>219</v>
      </c>
      <c r="O11" s="1" t="s">
        <v>8</v>
      </c>
      <c r="R11" s="1" t="s">
        <v>211</v>
      </c>
      <c r="S11" s="1" t="s">
        <v>215</v>
      </c>
      <c r="T11" s="1" t="s">
        <v>60</v>
      </c>
    </row>
    <row r="12" spans="1:20" ht="31.5" x14ac:dyDescent="0.25">
      <c r="A12" s="1" t="s">
        <v>404</v>
      </c>
      <c r="B12" s="1" t="s">
        <v>406</v>
      </c>
      <c r="C12" s="1" t="s">
        <v>3</v>
      </c>
      <c r="D12" s="1" t="s">
        <v>179</v>
      </c>
      <c r="E12" s="1" t="s">
        <v>97</v>
      </c>
      <c r="F12" s="1" t="s">
        <v>105</v>
      </c>
      <c r="G12" s="1" t="s">
        <v>226</v>
      </c>
      <c r="H12" s="1" t="s">
        <v>217</v>
      </c>
      <c r="I12" s="1" t="s">
        <v>12</v>
      </c>
      <c r="J12" s="1" t="s">
        <v>6</v>
      </c>
      <c r="K12" s="1" t="s">
        <v>218</v>
      </c>
      <c r="L12" s="1" t="s">
        <v>89</v>
      </c>
      <c r="M12" s="1" t="s">
        <v>216</v>
      </c>
      <c r="N12" s="1" t="s">
        <v>219</v>
      </c>
      <c r="O12" s="1" t="s">
        <v>8</v>
      </c>
      <c r="R12" s="1" t="s">
        <v>211</v>
      </c>
    </row>
    <row r="13" spans="1:20" ht="31.5" x14ac:dyDescent="0.25">
      <c r="A13" s="1" t="s">
        <v>404</v>
      </c>
      <c r="B13" s="1" t="s">
        <v>405</v>
      </c>
      <c r="C13" s="1" t="s">
        <v>3</v>
      </c>
      <c r="D13" s="1" t="s">
        <v>179</v>
      </c>
      <c r="E13" s="1" t="s">
        <v>97</v>
      </c>
      <c r="F13" s="1" t="s">
        <v>105</v>
      </c>
      <c r="G13" s="1" t="s">
        <v>226</v>
      </c>
      <c r="H13" s="1" t="s">
        <v>217</v>
      </c>
      <c r="I13" s="1" t="s">
        <v>12</v>
      </c>
      <c r="J13" s="1" t="s">
        <v>6</v>
      </c>
      <c r="K13" s="1" t="s">
        <v>218</v>
      </c>
      <c r="L13" s="1" t="s">
        <v>89</v>
      </c>
      <c r="M13" s="1" t="s">
        <v>216</v>
      </c>
      <c r="N13" s="1" t="s">
        <v>219</v>
      </c>
      <c r="O13" s="1" t="s">
        <v>8</v>
      </c>
      <c r="R13" s="1" t="s">
        <v>211</v>
      </c>
    </row>
    <row r="14" spans="1:20" ht="31.5" x14ac:dyDescent="0.25">
      <c r="A14" s="1" t="s">
        <v>404</v>
      </c>
      <c r="B14" s="1" t="s">
        <v>425</v>
      </c>
      <c r="C14" s="1" t="s">
        <v>3</v>
      </c>
      <c r="D14" s="1" t="s">
        <v>179</v>
      </c>
      <c r="E14" s="1" t="s">
        <v>97</v>
      </c>
      <c r="F14" s="1" t="s">
        <v>105</v>
      </c>
      <c r="G14" s="1" t="s">
        <v>226</v>
      </c>
      <c r="H14" s="1" t="s">
        <v>217</v>
      </c>
      <c r="I14" s="1" t="s">
        <v>53</v>
      </c>
      <c r="J14" s="1" t="s">
        <v>6</v>
      </c>
      <c r="K14" s="1" t="s">
        <v>218</v>
      </c>
      <c r="L14" s="1" t="s">
        <v>89</v>
      </c>
      <c r="M14" s="1" t="s">
        <v>427</v>
      </c>
      <c r="N14" s="1" t="s">
        <v>219</v>
      </c>
      <c r="O14" s="1" t="s">
        <v>8</v>
      </c>
      <c r="R14" s="1" t="s">
        <v>211</v>
      </c>
      <c r="S14" s="1" t="s">
        <v>428</v>
      </c>
    </row>
    <row r="15" spans="1:20" ht="31.5" x14ac:dyDescent="0.25">
      <c r="A15" s="1" t="s">
        <v>404</v>
      </c>
      <c r="B15" s="1" t="s">
        <v>426</v>
      </c>
      <c r="D15" s="1" t="s">
        <v>179</v>
      </c>
      <c r="E15" s="1" t="s">
        <v>97</v>
      </c>
      <c r="F15" s="1" t="s">
        <v>105</v>
      </c>
      <c r="G15" s="1" t="s">
        <v>226</v>
      </c>
      <c r="H15" s="1" t="s">
        <v>217</v>
      </c>
      <c r="I15" s="1" t="s">
        <v>12</v>
      </c>
      <c r="J15" s="1" t="s">
        <v>6</v>
      </c>
      <c r="K15" s="1" t="s">
        <v>218</v>
      </c>
      <c r="L15" s="1" t="s">
        <v>89</v>
      </c>
      <c r="M15" s="1" t="s">
        <v>216</v>
      </c>
      <c r="N15" s="1" t="s">
        <v>219</v>
      </c>
      <c r="O15" s="1" t="s">
        <v>8</v>
      </c>
      <c r="R15" s="1" t="s">
        <v>211</v>
      </c>
    </row>
    <row r="16" spans="1:20" ht="31.5" x14ac:dyDescent="0.25">
      <c r="A16" s="1" t="s">
        <v>67</v>
      </c>
      <c r="C16" s="1" t="s">
        <v>123</v>
      </c>
      <c r="D16" s="1" t="s">
        <v>125</v>
      </c>
      <c r="E16" s="1" t="s">
        <v>90</v>
      </c>
      <c r="H16" s="1" t="s">
        <v>174</v>
      </c>
      <c r="I16" s="1" t="s">
        <v>12</v>
      </c>
      <c r="J16" s="1" t="s">
        <v>6</v>
      </c>
      <c r="L16" s="1" t="s">
        <v>89</v>
      </c>
      <c r="M16" s="1" t="s">
        <v>175</v>
      </c>
      <c r="N16" s="1" t="s">
        <v>176</v>
      </c>
      <c r="O16" s="1" t="s">
        <v>118</v>
      </c>
      <c r="T16" s="1" t="s">
        <v>60</v>
      </c>
    </row>
    <row r="17" spans="1:20" ht="31.5" x14ac:dyDescent="0.25">
      <c r="A17" s="1" t="s">
        <v>16</v>
      </c>
      <c r="B17" s="1" t="s">
        <v>114</v>
      </c>
      <c r="C17" s="1" t="s">
        <v>115</v>
      </c>
      <c r="D17" s="1" t="s">
        <v>119</v>
      </c>
      <c r="E17" s="1" t="s">
        <v>90</v>
      </c>
      <c r="H17" s="1" t="s">
        <v>110</v>
      </c>
      <c r="I17" s="1" t="s">
        <v>103</v>
      </c>
      <c r="J17" s="1" t="s">
        <v>6</v>
      </c>
      <c r="L17" s="1" t="s">
        <v>89</v>
      </c>
      <c r="M17" s="1" t="s">
        <v>117</v>
      </c>
      <c r="N17" s="1" t="s">
        <v>120</v>
      </c>
      <c r="O17" s="1" t="s">
        <v>118</v>
      </c>
      <c r="Q17" s="1" t="s">
        <v>382</v>
      </c>
      <c r="R17" s="1" t="s">
        <v>116</v>
      </c>
      <c r="T17" s="1" t="s">
        <v>60</v>
      </c>
    </row>
    <row r="18" spans="1:20" ht="31.5" x14ac:dyDescent="0.25">
      <c r="A18" s="1" t="s">
        <v>16</v>
      </c>
      <c r="B18" s="1" t="s">
        <v>204</v>
      </c>
      <c r="C18" s="1" t="s">
        <v>187</v>
      </c>
      <c r="D18" s="1" t="s">
        <v>158</v>
      </c>
      <c r="E18" s="1" t="s">
        <v>90</v>
      </c>
      <c r="H18" s="1" t="s">
        <v>171</v>
      </c>
      <c r="I18" s="1" t="s">
        <v>103</v>
      </c>
      <c r="L18" s="1" t="s">
        <v>89</v>
      </c>
      <c r="M18" s="1" t="s">
        <v>117</v>
      </c>
      <c r="N18" s="1" t="s">
        <v>205</v>
      </c>
      <c r="O18" s="1" t="s">
        <v>118</v>
      </c>
      <c r="Q18" s="1" t="s">
        <v>382</v>
      </c>
      <c r="R18" s="1" t="s">
        <v>124</v>
      </c>
      <c r="T18" s="1" t="s">
        <v>60</v>
      </c>
    </row>
    <row r="19" spans="1:20" ht="47.25" x14ac:dyDescent="0.25">
      <c r="A19" s="1" t="s">
        <v>242</v>
      </c>
      <c r="B19" s="1" t="s">
        <v>243</v>
      </c>
      <c r="C19" s="1" t="s">
        <v>178</v>
      </c>
      <c r="D19" s="1" t="s">
        <v>244</v>
      </c>
      <c r="E19" s="1" t="s">
        <v>97</v>
      </c>
      <c r="F19" s="1" t="s">
        <v>159</v>
      </c>
      <c r="G19" s="1" t="s">
        <v>245</v>
      </c>
      <c r="H19" s="1" t="s">
        <v>227</v>
      </c>
      <c r="I19" s="1" t="s">
        <v>18</v>
      </c>
      <c r="J19" s="1" t="s">
        <v>6</v>
      </c>
      <c r="K19" s="1" t="s">
        <v>253</v>
      </c>
      <c r="L19" s="1" t="s">
        <v>89</v>
      </c>
      <c r="M19" s="1" t="s">
        <v>246</v>
      </c>
      <c r="N19" s="1" t="s">
        <v>247</v>
      </c>
      <c r="O19" s="1" t="s">
        <v>8</v>
      </c>
      <c r="P19" s="1" t="s">
        <v>257</v>
      </c>
      <c r="R19" s="1" t="s">
        <v>211</v>
      </c>
      <c r="S19" s="1" t="s">
        <v>248</v>
      </c>
      <c r="T19" s="1" t="s">
        <v>60</v>
      </c>
    </row>
    <row r="20" spans="1:20" ht="47.25" x14ac:dyDescent="0.25">
      <c r="A20" s="1" t="s">
        <v>242</v>
      </c>
      <c r="B20" s="1" t="s">
        <v>259</v>
      </c>
      <c r="C20" s="1" t="s">
        <v>178</v>
      </c>
      <c r="D20" s="1" t="s">
        <v>244</v>
      </c>
      <c r="E20" s="1" t="s">
        <v>97</v>
      </c>
      <c r="F20" s="1" t="s">
        <v>159</v>
      </c>
      <c r="G20" s="1" t="s">
        <v>245</v>
      </c>
      <c r="H20" s="1" t="s">
        <v>227</v>
      </c>
      <c r="I20" s="1" t="s">
        <v>18</v>
      </c>
      <c r="J20" s="1" t="s">
        <v>6</v>
      </c>
      <c r="K20" s="1" t="s">
        <v>253</v>
      </c>
      <c r="L20" s="1" t="s">
        <v>89</v>
      </c>
      <c r="M20" s="1" t="s">
        <v>246</v>
      </c>
      <c r="N20" s="1" t="s">
        <v>247</v>
      </c>
      <c r="O20" s="1" t="s">
        <v>8</v>
      </c>
      <c r="P20" s="1" t="s">
        <v>257</v>
      </c>
      <c r="R20" s="1" t="s">
        <v>211</v>
      </c>
      <c r="S20" s="1" t="s">
        <v>248</v>
      </c>
      <c r="T20" s="1" t="s">
        <v>60</v>
      </c>
    </row>
    <row r="21" spans="1:20" ht="31.5" x14ac:dyDescent="0.25">
      <c r="A21" s="1" t="s">
        <v>311</v>
      </c>
      <c r="B21" s="1" t="s">
        <v>312</v>
      </c>
      <c r="C21" s="1" t="s">
        <v>313</v>
      </c>
      <c r="D21" s="1" t="s">
        <v>147</v>
      </c>
      <c r="E21" s="1" t="s">
        <v>90</v>
      </c>
      <c r="H21" s="1" t="s">
        <v>317</v>
      </c>
      <c r="I21" s="1" t="s">
        <v>103</v>
      </c>
      <c r="M21" s="1" t="s">
        <v>316</v>
      </c>
      <c r="N21" s="1" t="s">
        <v>315</v>
      </c>
      <c r="O21" s="1" t="s">
        <v>8</v>
      </c>
      <c r="R21" s="1" t="s">
        <v>314</v>
      </c>
    </row>
    <row r="22" spans="1:20" ht="31.5" x14ac:dyDescent="0.25">
      <c r="A22" s="1" t="s">
        <v>201</v>
      </c>
      <c r="C22" s="1" t="s">
        <v>198</v>
      </c>
      <c r="D22" s="1" t="s">
        <v>179</v>
      </c>
      <c r="E22" s="1" t="s">
        <v>90</v>
      </c>
      <c r="H22" s="1" t="s">
        <v>110</v>
      </c>
      <c r="I22" s="1" t="s">
        <v>103</v>
      </c>
      <c r="M22" s="1" t="s">
        <v>203</v>
      </c>
      <c r="N22" s="1" t="s">
        <v>202</v>
      </c>
      <c r="O22" s="1" t="s">
        <v>118</v>
      </c>
    </row>
    <row r="23" spans="1:20" ht="31.5" x14ac:dyDescent="0.25">
      <c r="A23" s="1" t="s">
        <v>25</v>
      </c>
      <c r="B23" s="1" t="s">
        <v>106</v>
      </c>
      <c r="C23" s="1" t="s">
        <v>107</v>
      </c>
      <c r="D23" s="1" t="s">
        <v>113</v>
      </c>
      <c r="E23" s="1" t="s">
        <v>90</v>
      </c>
      <c r="H23" s="1" t="s">
        <v>110</v>
      </c>
      <c r="I23" s="1" t="s">
        <v>12</v>
      </c>
      <c r="J23" s="1" t="s">
        <v>6</v>
      </c>
      <c r="L23" s="1" t="s">
        <v>89</v>
      </c>
      <c r="M23" s="1" t="s">
        <v>87</v>
      </c>
      <c r="N23" s="1" t="s">
        <v>111</v>
      </c>
      <c r="O23" s="1" t="s">
        <v>8</v>
      </c>
      <c r="P23" s="1" t="s">
        <v>112</v>
      </c>
      <c r="R23" s="1" t="s">
        <v>108</v>
      </c>
      <c r="T23" s="1" t="s">
        <v>60</v>
      </c>
    </row>
    <row r="24" spans="1:20" ht="31.5" x14ac:dyDescent="0.25">
      <c r="A24" s="1" t="s">
        <v>25</v>
      </c>
      <c r="B24" s="1" t="s">
        <v>26</v>
      </c>
      <c r="C24" s="1" t="s">
        <v>129</v>
      </c>
      <c r="D24" s="1" t="s">
        <v>179</v>
      </c>
      <c r="E24" s="1" t="s">
        <v>90</v>
      </c>
      <c r="H24" s="1" t="s">
        <v>136</v>
      </c>
      <c r="I24" s="1" t="s">
        <v>182</v>
      </c>
      <c r="L24" s="1" t="s">
        <v>89</v>
      </c>
      <c r="M24" s="1" t="s">
        <v>216</v>
      </c>
      <c r="N24" s="1" t="s">
        <v>193</v>
      </c>
      <c r="O24" s="1" t="s">
        <v>8</v>
      </c>
      <c r="P24" s="1" t="s">
        <v>330</v>
      </c>
      <c r="T24" s="1" t="s">
        <v>60</v>
      </c>
    </row>
    <row r="25" spans="1:20" ht="47.25" x14ac:dyDescent="0.25">
      <c r="A25" s="1" t="s">
        <v>9</v>
      </c>
      <c r="B25" s="1" t="s">
        <v>249</v>
      </c>
      <c r="C25" s="1" t="s">
        <v>251</v>
      </c>
      <c r="D25" s="1" t="s">
        <v>252</v>
      </c>
      <c r="E25" s="1" t="s">
        <v>97</v>
      </c>
      <c r="F25" s="1" t="s">
        <v>159</v>
      </c>
      <c r="G25" s="1" t="s">
        <v>56</v>
      </c>
      <c r="H25" s="1" t="s">
        <v>227</v>
      </c>
      <c r="I25" s="1" t="s">
        <v>50</v>
      </c>
      <c r="J25" s="1" t="s">
        <v>6</v>
      </c>
      <c r="K25" s="1" t="s">
        <v>253</v>
      </c>
      <c r="L25" s="1" t="s">
        <v>89</v>
      </c>
      <c r="M25" s="1" t="s">
        <v>254</v>
      </c>
      <c r="N25" s="1" t="s">
        <v>255</v>
      </c>
      <c r="O25" s="1" t="s">
        <v>8</v>
      </c>
      <c r="P25" s="1" t="s">
        <v>256</v>
      </c>
      <c r="R25" s="1" t="s">
        <v>258</v>
      </c>
      <c r="S25" s="1" t="s">
        <v>250</v>
      </c>
      <c r="T25" s="1" t="s">
        <v>60</v>
      </c>
    </row>
    <row r="26" spans="1:20" ht="47.25" x14ac:dyDescent="0.25">
      <c r="A26" s="1" t="s">
        <v>9</v>
      </c>
      <c r="B26" s="1" t="s">
        <v>420</v>
      </c>
      <c r="C26" s="1" t="s">
        <v>251</v>
      </c>
      <c r="D26" s="1" t="s">
        <v>252</v>
      </c>
      <c r="E26" s="1" t="s">
        <v>97</v>
      </c>
      <c r="F26" s="1" t="s">
        <v>159</v>
      </c>
      <c r="G26" s="1" t="s">
        <v>56</v>
      </c>
      <c r="H26" s="1" t="s">
        <v>227</v>
      </c>
      <c r="I26" s="1" t="s">
        <v>50</v>
      </c>
      <c r="J26" s="1" t="s">
        <v>6</v>
      </c>
      <c r="K26" s="1" t="s">
        <v>253</v>
      </c>
      <c r="L26" s="1" t="s">
        <v>89</v>
      </c>
      <c r="M26" s="1" t="s">
        <v>254</v>
      </c>
      <c r="N26" s="1" t="s">
        <v>255</v>
      </c>
      <c r="O26" s="1" t="s">
        <v>8</v>
      </c>
      <c r="P26" s="1" t="s">
        <v>256</v>
      </c>
      <c r="R26" s="1" t="s">
        <v>421</v>
      </c>
    </row>
    <row r="27" spans="1:20" ht="47.25" x14ac:dyDescent="0.25">
      <c r="A27" s="1" t="s">
        <v>294</v>
      </c>
      <c r="B27" s="1" t="s">
        <v>295</v>
      </c>
      <c r="C27" s="1" t="s">
        <v>5</v>
      </c>
      <c r="D27" s="1" t="s">
        <v>179</v>
      </c>
      <c r="E27" s="1" t="s">
        <v>97</v>
      </c>
      <c r="F27" s="1" t="s">
        <v>159</v>
      </c>
      <c r="G27" s="1" t="s">
        <v>245</v>
      </c>
      <c r="H27" s="1" t="s">
        <v>227</v>
      </c>
      <c r="I27" s="1" t="s">
        <v>52</v>
      </c>
      <c r="J27" s="1" t="s">
        <v>6</v>
      </c>
      <c r="K27" s="1" t="s">
        <v>253</v>
      </c>
      <c r="L27" s="1" t="s">
        <v>89</v>
      </c>
      <c r="M27" s="1" t="s">
        <v>296</v>
      </c>
      <c r="N27" s="1" t="s">
        <v>297</v>
      </c>
      <c r="O27" s="1" t="s">
        <v>8</v>
      </c>
      <c r="P27" s="1" t="s">
        <v>298</v>
      </c>
      <c r="R27" s="1" t="s">
        <v>258</v>
      </c>
      <c r="T27" s="1" t="s">
        <v>60</v>
      </c>
    </row>
    <row r="28" spans="1:20" x14ac:dyDescent="0.25">
      <c r="A28" s="1" t="s">
        <v>66</v>
      </c>
      <c r="C28" s="1" t="s">
        <v>123</v>
      </c>
      <c r="D28" s="1" t="s">
        <v>147</v>
      </c>
      <c r="E28" s="1" t="s">
        <v>90</v>
      </c>
      <c r="H28" s="1" t="s">
        <v>171</v>
      </c>
      <c r="I28" s="1" t="s">
        <v>12</v>
      </c>
      <c r="M28" s="1" t="s">
        <v>145</v>
      </c>
      <c r="N28" s="1" t="s">
        <v>173</v>
      </c>
      <c r="O28" s="1" t="s">
        <v>8</v>
      </c>
      <c r="T28" s="1" t="s">
        <v>60</v>
      </c>
    </row>
    <row r="29" spans="1:20" ht="31.5" x14ac:dyDescent="0.25">
      <c r="A29" s="1" t="s">
        <v>58</v>
      </c>
      <c r="B29" s="1" t="s">
        <v>177</v>
      </c>
      <c r="C29" s="1" t="s">
        <v>178</v>
      </c>
      <c r="D29" s="1" t="s">
        <v>154</v>
      </c>
      <c r="E29" s="1" t="s">
        <v>90</v>
      </c>
      <c r="H29" s="1" t="s">
        <v>110</v>
      </c>
      <c r="I29" s="1" t="s">
        <v>103</v>
      </c>
      <c r="J29" s="1" t="s">
        <v>6</v>
      </c>
      <c r="L29" s="1" t="s">
        <v>89</v>
      </c>
      <c r="M29" s="1" t="s">
        <v>180</v>
      </c>
      <c r="N29" s="1" t="s">
        <v>154</v>
      </c>
      <c r="O29" s="1" t="s">
        <v>8</v>
      </c>
      <c r="T29" s="1" t="s">
        <v>60</v>
      </c>
    </row>
    <row r="30" spans="1:20" ht="31.5" x14ac:dyDescent="0.25">
      <c r="A30" s="1" t="s">
        <v>121</v>
      </c>
      <c r="B30" s="1" t="s">
        <v>122</v>
      </c>
      <c r="C30" s="1" t="s">
        <v>123</v>
      </c>
      <c r="D30" s="1" t="s">
        <v>125</v>
      </c>
      <c r="H30" s="1" t="s">
        <v>127</v>
      </c>
      <c r="I30" s="1" t="s">
        <v>18</v>
      </c>
      <c r="J30" s="1" t="s">
        <v>6</v>
      </c>
      <c r="L30" s="1" t="s">
        <v>89</v>
      </c>
      <c r="M30" s="1" t="s">
        <v>51</v>
      </c>
      <c r="N30" s="1" t="s">
        <v>126</v>
      </c>
      <c r="O30" s="1" t="s">
        <v>118</v>
      </c>
      <c r="R30" s="1" t="s">
        <v>124</v>
      </c>
      <c r="T30" s="1" t="s">
        <v>60</v>
      </c>
    </row>
    <row r="31" spans="1:20" ht="31.5" x14ac:dyDescent="0.25">
      <c r="A31" s="1" t="s">
        <v>121</v>
      </c>
      <c r="C31" s="1" t="s">
        <v>220</v>
      </c>
      <c r="D31" s="1" t="s">
        <v>147</v>
      </c>
      <c r="E31" s="1" t="s">
        <v>97</v>
      </c>
      <c r="F31" s="1" t="s">
        <v>221</v>
      </c>
      <c r="G31" s="1" t="s">
        <v>222</v>
      </c>
      <c r="I31" s="1" t="s">
        <v>12</v>
      </c>
      <c r="M31" s="1" t="s">
        <v>223</v>
      </c>
    </row>
    <row r="32" spans="1:20" ht="47.25" x14ac:dyDescent="0.25">
      <c r="A32" s="1" t="s">
        <v>375</v>
      </c>
      <c r="B32" s="1" t="s">
        <v>385</v>
      </c>
      <c r="C32" s="1" t="s">
        <v>17</v>
      </c>
      <c r="D32" s="1" t="s">
        <v>147</v>
      </c>
      <c r="E32" s="1" t="s">
        <v>97</v>
      </c>
      <c r="F32" s="1" t="s">
        <v>386</v>
      </c>
      <c r="G32" s="1" t="s">
        <v>387</v>
      </c>
      <c r="H32" s="1" t="s">
        <v>388</v>
      </c>
      <c r="I32" s="1" t="s">
        <v>389</v>
      </c>
      <c r="M32" s="1" t="s">
        <v>390</v>
      </c>
      <c r="P32" s="1" t="s">
        <v>391</v>
      </c>
      <c r="R32" s="1" t="s">
        <v>211</v>
      </c>
      <c r="T32" s="1" t="s">
        <v>60</v>
      </c>
    </row>
    <row r="33" spans="1:20" ht="63" x14ac:dyDescent="0.25">
      <c r="A33" s="1" t="s">
        <v>40</v>
      </c>
      <c r="B33" s="1" t="s">
        <v>362</v>
      </c>
      <c r="C33" s="1" t="s">
        <v>367</v>
      </c>
      <c r="D33" s="1" t="s">
        <v>147</v>
      </c>
      <c r="E33" s="1" t="s">
        <v>90</v>
      </c>
      <c r="I33" s="1" t="s">
        <v>166</v>
      </c>
      <c r="K33" s="1" t="s">
        <v>369</v>
      </c>
      <c r="M33" s="1" t="s">
        <v>368</v>
      </c>
      <c r="N33" s="1" t="s">
        <v>370</v>
      </c>
      <c r="O33" s="1" t="s">
        <v>8</v>
      </c>
      <c r="P33" s="1" t="s">
        <v>371</v>
      </c>
      <c r="R33" s="1" t="s">
        <v>372</v>
      </c>
      <c r="S33" s="1" t="s">
        <v>373</v>
      </c>
      <c r="T33" s="1" t="s">
        <v>60</v>
      </c>
    </row>
    <row r="34" spans="1:20" ht="63" x14ac:dyDescent="0.25">
      <c r="A34" s="1" t="s">
        <v>40</v>
      </c>
      <c r="B34" s="1" t="s">
        <v>363</v>
      </c>
      <c r="C34" s="1" t="s">
        <v>367</v>
      </c>
      <c r="D34" s="1" t="s">
        <v>147</v>
      </c>
      <c r="E34" s="1" t="s">
        <v>90</v>
      </c>
      <c r="I34" s="1" t="s">
        <v>166</v>
      </c>
      <c r="K34" s="1" t="s">
        <v>369</v>
      </c>
      <c r="M34" s="1" t="s">
        <v>368</v>
      </c>
      <c r="N34" s="1" t="s">
        <v>370</v>
      </c>
      <c r="O34" s="1" t="s">
        <v>8</v>
      </c>
      <c r="P34" s="1" t="s">
        <v>371</v>
      </c>
      <c r="R34" s="1" t="s">
        <v>372</v>
      </c>
      <c r="S34" s="1" t="s">
        <v>373</v>
      </c>
      <c r="T34" s="1" t="s">
        <v>60</v>
      </c>
    </row>
    <row r="35" spans="1:20" ht="47.25" x14ac:dyDescent="0.25">
      <c r="A35" s="1" t="s">
        <v>27</v>
      </c>
      <c r="B35" s="1" t="s">
        <v>131</v>
      </c>
      <c r="C35" s="1" t="s">
        <v>132</v>
      </c>
      <c r="D35" s="1" t="s">
        <v>135</v>
      </c>
      <c r="E35" s="1" t="s">
        <v>90</v>
      </c>
      <c r="H35" s="1" t="s">
        <v>138</v>
      </c>
      <c r="I35" s="1" t="s">
        <v>12</v>
      </c>
      <c r="J35" s="1" t="s">
        <v>6</v>
      </c>
      <c r="L35" s="1" t="s">
        <v>139</v>
      </c>
      <c r="M35" s="1" t="s">
        <v>134</v>
      </c>
      <c r="N35" s="1" t="s">
        <v>137</v>
      </c>
      <c r="O35" s="1" t="s">
        <v>8</v>
      </c>
      <c r="P35" s="1" t="s">
        <v>141</v>
      </c>
      <c r="R35" s="1" t="s">
        <v>133</v>
      </c>
      <c r="S35" s="1" t="s">
        <v>140</v>
      </c>
      <c r="T35" s="1" t="s">
        <v>60</v>
      </c>
    </row>
    <row r="36" spans="1:20" ht="47.25" x14ac:dyDescent="0.25">
      <c r="A36" s="1" t="s">
        <v>27</v>
      </c>
      <c r="B36" s="1" t="s">
        <v>288</v>
      </c>
      <c r="C36" s="1" t="s">
        <v>132</v>
      </c>
      <c r="D36" s="1" t="s">
        <v>135</v>
      </c>
      <c r="E36" s="1" t="s">
        <v>90</v>
      </c>
      <c r="H36" s="1" t="s">
        <v>138</v>
      </c>
      <c r="I36" s="1" t="s">
        <v>12</v>
      </c>
      <c r="J36" s="1" t="s">
        <v>6</v>
      </c>
      <c r="L36" s="1" t="s">
        <v>139</v>
      </c>
      <c r="M36" s="1" t="s">
        <v>289</v>
      </c>
      <c r="N36" s="1" t="s">
        <v>109</v>
      </c>
      <c r="O36" s="1" t="s">
        <v>8</v>
      </c>
      <c r="P36" s="1" t="s">
        <v>141</v>
      </c>
      <c r="R36" s="1" t="s">
        <v>116</v>
      </c>
      <c r="S36" s="1" t="s">
        <v>140</v>
      </c>
    </row>
    <row r="37" spans="1:20" ht="47.25" x14ac:dyDescent="0.25">
      <c r="A37" s="1" t="s">
        <v>27</v>
      </c>
      <c r="B37" s="1" t="s">
        <v>28</v>
      </c>
      <c r="C37" s="1" t="s">
        <v>197</v>
      </c>
      <c r="D37" s="1" t="s">
        <v>290</v>
      </c>
      <c r="E37" s="1" t="s">
        <v>90</v>
      </c>
      <c r="H37" s="1" t="s">
        <v>138</v>
      </c>
      <c r="I37" s="1" t="s">
        <v>12</v>
      </c>
      <c r="J37" s="1" t="s">
        <v>6</v>
      </c>
      <c r="L37" s="1" t="s">
        <v>291</v>
      </c>
      <c r="M37" s="1" t="s">
        <v>293</v>
      </c>
      <c r="N37" s="1" t="s">
        <v>109</v>
      </c>
      <c r="O37" s="1" t="s">
        <v>8</v>
      </c>
      <c r="P37" s="1" t="s">
        <v>141</v>
      </c>
      <c r="R37" s="1" t="s">
        <v>292</v>
      </c>
      <c r="S37" s="1" t="s">
        <v>140</v>
      </c>
      <c r="T37" s="1" t="s">
        <v>60</v>
      </c>
    </row>
    <row r="38" spans="1:20" ht="47.25" x14ac:dyDescent="0.25">
      <c r="A38" s="1" t="s">
        <v>300</v>
      </c>
      <c r="B38" s="1" t="s">
        <v>301</v>
      </c>
      <c r="C38" s="1" t="s">
        <v>302</v>
      </c>
      <c r="D38" s="1" t="s">
        <v>290</v>
      </c>
      <c r="E38" s="1" t="s">
        <v>90</v>
      </c>
      <c r="H38" s="1" t="s">
        <v>304</v>
      </c>
      <c r="I38" s="1" t="s">
        <v>103</v>
      </c>
      <c r="J38" s="1" t="s">
        <v>303</v>
      </c>
      <c r="L38" s="1" t="s">
        <v>139</v>
      </c>
      <c r="M38" s="1" t="s">
        <v>284</v>
      </c>
      <c r="N38" s="1" t="s">
        <v>307</v>
      </c>
      <c r="O38" s="1" t="s">
        <v>8</v>
      </c>
      <c r="P38" s="1" t="s">
        <v>305</v>
      </c>
      <c r="R38" s="1" t="s">
        <v>150</v>
      </c>
      <c r="T38" s="1" t="s">
        <v>60</v>
      </c>
    </row>
    <row r="39" spans="1:20" ht="47.25" x14ac:dyDescent="0.25">
      <c r="A39" s="1" t="s">
        <v>300</v>
      </c>
      <c r="B39" s="1" t="s">
        <v>44</v>
      </c>
      <c r="C39" s="1" t="s">
        <v>306</v>
      </c>
      <c r="D39" s="1" t="s">
        <v>290</v>
      </c>
      <c r="E39" s="1" t="s">
        <v>90</v>
      </c>
      <c r="H39" s="1" t="s">
        <v>304</v>
      </c>
      <c r="I39" s="1" t="s">
        <v>103</v>
      </c>
      <c r="J39" s="1" t="s">
        <v>303</v>
      </c>
      <c r="L39" s="1" t="s">
        <v>139</v>
      </c>
      <c r="M39" s="1" t="s">
        <v>284</v>
      </c>
      <c r="N39" s="1" t="s">
        <v>307</v>
      </c>
      <c r="O39" s="1" t="s">
        <v>8</v>
      </c>
      <c r="P39" s="1" t="s">
        <v>305</v>
      </c>
      <c r="R39" s="1" t="s">
        <v>150</v>
      </c>
      <c r="T39" s="1" t="s">
        <v>60</v>
      </c>
    </row>
    <row r="40" spans="1:20" ht="47.25" x14ac:dyDescent="0.25">
      <c r="A40" s="1" t="s">
        <v>300</v>
      </c>
      <c r="B40" s="1" t="s">
        <v>308</v>
      </c>
      <c r="C40" s="1" t="s">
        <v>309</v>
      </c>
      <c r="D40" s="1" t="s">
        <v>195</v>
      </c>
      <c r="E40" s="1" t="s">
        <v>90</v>
      </c>
      <c r="H40" s="1" t="s">
        <v>304</v>
      </c>
      <c r="I40" s="1" t="s">
        <v>103</v>
      </c>
      <c r="J40" s="1" t="s">
        <v>303</v>
      </c>
      <c r="L40" s="1" t="s">
        <v>139</v>
      </c>
      <c r="M40" s="1" t="s">
        <v>284</v>
      </c>
      <c r="N40" s="1" t="s">
        <v>307</v>
      </c>
      <c r="O40" s="1" t="s">
        <v>8</v>
      </c>
      <c r="P40" s="1" t="s">
        <v>305</v>
      </c>
      <c r="R40" s="1" t="s">
        <v>310</v>
      </c>
      <c r="T40" s="1" t="s">
        <v>60</v>
      </c>
    </row>
    <row r="41" spans="1:20" ht="47.25" x14ac:dyDescent="0.25">
      <c r="A41" s="1" t="s">
        <v>358</v>
      </c>
      <c r="B41" s="1" t="s">
        <v>359</v>
      </c>
      <c r="C41" s="1" t="s">
        <v>123</v>
      </c>
      <c r="D41" s="1" t="s">
        <v>179</v>
      </c>
      <c r="E41" s="1" t="s">
        <v>97</v>
      </c>
      <c r="F41" s="1" t="s">
        <v>159</v>
      </c>
      <c r="G41" s="1" t="s">
        <v>57</v>
      </c>
      <c r="H41" s="1" t="s">
        <v>361</v>
      </c>
      <c r="I41" s="1" t="s">
        <v>10</v>
      </c>
      <c r="J41" s="1" t="s">
        <v>6</v>
      </c>
      <c r="L41" s="1" t="s">
        <v>89</v>
      </c>
      <c r="M41" s="1" t="s">
        <v>360</v>
      </c>
      <c r="O41" s="1" t="s">
        <v>8</v>
      </c>
      <c r="R41" s="1" t="s">
        <v>314</v>
      </c>
    </row>
    <row r="42" spans="1:20" ht="31.5" x14ac:dyDescent="0.25">
      <c r="A42" s="1" t="s">
        <v>83</v>
      </c>
      <c r="C42" s="1" t="s">
        <v>84</v>
      </c>
      <c r="D42" s="1" t="s">
        <v>88</v>
      </c>
      <c r="E42" s="1" t="s">
        <v>90</v>
      </c>
      <c r="H42" s="1" t="s">
        <v>91</v>
      </c>
      <c r="I42" s="1" t="s">
        <v>103</v>
      </c>
      <c r="J42" s="1" t="s">
        <v>299</v>
      </c>
      <c r="L42" s="1" t="s">
        <v>89</v>
      </c>
      <c r="M42" s="1" t="s">
        <v>87</v>
      </c>
      <c r="N42" s="1" t="s">
        <v>92</v>
      </c>
      <c r="O42" s="1" t="s">
        <v>8</v>
      </c>
      <c r="R42" s="1" t="s">
        <v>86</v>
      </c>
    </row>
    <row r="43" spans="1:20" ht="31.5" x14ac:dyDescent="0.25">
      <c r="A43" s="1" t="s">
        <v>353</v>
      </c>
      <c r="B43" s="1" t="s">
        <v>354</v>
      </c>
      <c r="C43" s="1" t="s">
        <v>144</v>
      </c>
      <c r="M43" s="1" t="s">
        <v>164</v>
      </c>
      <c r="N43" s="1" t="s">
        <v>148</v>
      </c>
      <c r="O43" s="1" t="s">
        <v>8</v>
      </c>
      <c r="P43" s="1" t="s">
        <v>355</v>
      </c>
      <c r="R43" s="1" t="s">
        <v>291</v>
      </c>
    </row>
    <row r="44" spans="1:20" x14ac:dyDescent="0.25">
      <c r="A44" s="1" t="s">
        <v>29</v>
      </c>
      <c r="B44" s="1" t="s">
        <v>31</v>
      </c>
      <c r="C44" s="1" t="s">
        <v>309</v>
      </c>
      <c r="D44" s="1" t="s">
        <v>147</v>
      </c>
      <c r="E44" s="1" t="s">
        <v>97</v>
      </c>
      <c r="F44" s="1" t="s">
        <v>54</v>
      </c>
      <c r="G44" s="1" t="s">
        <v>226</v>
      </c>
      <c r="H44" s="1" t="s">
        <v>340</v>
      </c>
      <c r="I44" s="1" t="s">
        <v>50</v>
      </c>
      <c r="M44" s="1" t="s">
        <v>339</v>
      </c>
      <c r="N44" s="1" t="s">
        <v>341</v>
      </c>
      <c r="O44" s="1" t="s">
        <v>8</v>
      </c>
      <c r="R44" s="1" t="s">
        <v>124</v>
      </c>
      <c r="T44" s="1" t="s">
        <v>60</v>
      </c>
    </row>
    <row r="45" spans="1:20" x14ac:dyDescent="0.25">
      <c r="A45" s="1" t="s">
        <v>29</v>
      </c>
      <c r="B45" s="1" t="s">
        <v>30</v>
      </c>
      <c r="C45" s="1" t="s">
        <v>342</v>
      </c>
      <c r="D45" s="1" t="s">
        <v>147</v>
      </c>
      <c r="E45" s="1" t="s">
        <v>97</v>
      </c>
      <c r="F45" s="1" t="s">
        <v>54</v>
      </c>
      <c r="G45" s="1" t="s">
        <v>226</v>
      </c>
      <c r="H45" s="1" t="s">
        <v>340</v>
      </c>
      <c r="I45" s="1" t="s">
        <v>18</v>
      </c>
      <c r="M45" s="1" t="s">
        <v>339</v>
      </c>
      <c r="N45" s="1" t="s">
        <v>341</v>
      </c>
      <c r="O45" s="1" t="s">
        <v>8</v>
      </c>
      <c r="R45" s="1" t="s">
        <v>124</v>
      </c>
      <c r="T45" s="1" t="s">
        <v>60</v>
      </c>
    </row>
    <row r="46" spans="1:20" ht="31.5" x14ac:dyDescent="0.25">
      <c r="A46" s="1" t="s">
        <v>29</v>
      </c>
      <c r="B46" s="1" t="s">
        <v>343</v>
      </c>
      <c r="C46" s="1" t="s">
        <v>251</v>
      </c>
      <c r="D46" s="1" t="s">
        <v>147</v>
      </c>
      <c r="E46" s="1" t="s">
        <v>97</v>
      </c>
      <c r="F46" s="1" t="s">
        <v>54</v>
      </c>
      <c r="G46" s="1" t="s">
        <v>226</v>
      </c>
      <c r="H46" s="1" t="s">
        <v>340</v>
      </c>
      <c r="I46" s="1" t="s">
        <v>18</v>
      </c>
      <c r="M46" s="1" t="s">
        <v>339</v>
      </c>
      <c r="N46" s="1" t="s">
        <v>341</v>
      </c>
      <c r="O46" s="1" t="s">
        <v>8</v>
      </c>
      <c r="R46" s="1" t="s">
        <v>344</v>
      </c>
      <c r="T46" s="1" t="s">
        <v>60</v>
      </c>
    </row>
    <row r="47" spans="1:20" ht="31.5" x14ac:dyDescent="0.25">
      <c r="A47" s="1" t="s">
        <v>29</v>
      </c>
      <c r="B47" s="1" t="s">
        <v>352</v>
      </c>
      <c r="C47" s="1" t="s">
        <v>144</v>
      </c>
      <c r="D47" s="1" t="s">
        <v>147</v>
      </c>
      <c r="E47" s="1" t="s">
        <v>97</v>
      </c>
      <c r="F47" s="1" t="s">
        <v>54</v>
      </c>
      <c r="G47" s="1" t="s">
        <v>226</v>
      </c>
      <c r="H47" s="1" t="s">
        <v>340</v>
      </c>
      <c r="I47" s="1" t="s">
        <v>50</v>
      </c>
      <c r="M47" s="1" t="s">
        <v>339</v>
      </c>
      <c r="N47" s="1" t="s">
        <v>341</v>
      </c>
      <c r="O47" s="1" t="s">
        <v>8</v>
      </c>
      <c r="R47" s="1" t="s">
        <v>344</v>
      </c>
      <c r="T47" s="1" t="s">
        <v>60</v>
      </c>
    </row>
    <row r="48" spans="1:20" ht="63" x14ac:dyDescent="0.25">
      <c r="A48" s="1" t="s">
        <v>2</v>
      </c>
      <c r="B48" s="1" t="s">
        <v>61</v>
      </c>
      <c r="C48" s="1" t="s">
        <v>325</v>
      </c>
      <c r="D48" s="1" t="s">
        <v>179</v>
      </c>
      <c r="E48" s="1" t="s">
        <v>97</v>
      </c>
      <c r="F48" s="1" t="s">
        <v>105</v>
      </c>
      <c r="G48" s="1" t="s">
        <v>226</v>
      </c>
      <c r="H48" s="1" t="s">
        <v>326</v>
      </c>
      <c r="I48" s="1" t="s">
        <v>12</v>
      </c>
      <c r="J48" s="1" t="s">
        <v>6</v>
      </c>
      <c r="K48" s="1" t="s">
        <v>327</v>
      </c>
      <c r="L48" s="1" t="s">
        <v>89</v>
      </c>
      <c r="M48" s="1" t="s">
        <v>157</v>
      </c>
      <c r="N48" s="1" t="s">
        <v>328</v>
      </c>
      <c r="O48" s="1" t="s">
        <v>8</v>
      </c>
      <c r="P48" s="1" t="s">
        <v>329</v>
      </c>
      <c r="R48" s="1" t="s">
        <v>211</v>
      </c>
    </row>
    <row r="49" spans="1:20" ht="31.5" x14ac:dyDescent="0.25">
      <c r="A49" s="1" t="s">
        <v>14</v>
      </c>
      <c r="B49" s="1" t="s">
        <v>37</v>
      </c>
      <c r="C49" s="1" t="s">
        <v>144</v>
      </c>
      <c r="D49" s="1" t="s">
        <v>154</v>
      </c>
      <c r="E49" s="1" t="s">
        <v>90</v>
      </c>
      <c r="H49" s="1" t="s">
        <v>146</v>
      </c>
      <c r="I49" s="1" t="s">
        <v>155</v>
      </c>
      <c r="J49" s="1" t="s">
        <v>6</v>
      </c>
      <c r="K49" s="1" t="s">
        <v>153</v>
      </c>
      <c r="L49" s="1" t="s">
        <v>139</v>
      </c>
      <c r="M49" s="1" t="s">
        <v>117</v>
      </c>
      <c r="O49" s="1" t="s">
        <v>152</v>
      </c>
      <c r="R49" s="1" t="s">
        <v>151</v>
      </c>
      <c r="T49" s="1" t="s">
        <v>60</v>
      </c>
    </row>
    <row r="50" spans="1:20" ht="31.5" x14ac:dyDescent="0.25">
      <c r="A50" s="1" t="s">
        <v>14</v>
      </c>
      <c r="B50" s="1" t="s">
        <v>184</v>
      </c>
      <c r="C50" s="1" t="s">
        <v>187</v>
      </c>
      <c r="D50" s="1" t="s">
        <v>158</v>
      </c>
      <c r="E50" s="1" t="s">
        <v>90</v>
      </c>
      <c r="H50" s="1" t="s">
        <v>188</v>
      </c>
      <c r="I50" s="1" t="s">
        <v>53</v>
      </c>
      <c r="J50" s="1" t="s">
        <v>6</v>
      </c>
      <c r="K50" s="1" t="s">
        <v>153</v>
      </c>
      <c r="L50" s="1" t="s">
        <v>139</v>
      </c>
      <c r="M50" s="1" t="s">
        <v>185</v>
      </c>
      <c r="N50" s="1" t="s">
        <v>186</v>
      </c>
      <c r="O50" s="1" t="s">
        <v>152</v>
      </c>
      <c r="R50" s="1" t="s">
        <v>189</v>
      </c>
      <c r="T50" s="1" t="s">
        <v>60</v>
      </c>
    </row>
    <row r="51" spans="1:20" ht="31.5" x14ac:dyDescent="0.25">
      <c r="A51" s="1" t="s">
        <v>318</v>
      </c>
      <c r="B51" s="1" t="s">
        <v>319</v>
      </c>
      <c r="C51" s="1" t="s">
        <v>115</v>
      </c>
      <c r="D51" s="1" t="s">
        <v>158</v>
      </c>
      <c r="E51" s="1" t="s">
        <v>90</v>
      </c>
      <c r="I51" s="1" t="s">
        <v>103</v>
      </c>
      <c r="J51" s="1" t="s">
        <v>6</v>
      </c>
      <c r="L51" s="1" t="s">
        <v>310</v>
      </c>
      <c r="M51" s="1" t="s">
        <v>320</v>
      </c>
      <c r="O51" s="1" t="s">
        <v>8</v>
      </c>
      <c r="R51" s="1" t="s">
        <v>116</v>
      </c>
    </row>
    <row r="52" spans="1:20" ht="31.5" x14ac:dyDescent="0.25">
      <c r="A52" s="1" t="s">
        <v>395</v>
      </c>
      <c r="B52" s="1" t="s">
        <v>396</v>
      </c>
      <c r="C52" s="1" t="s">
        <v>4</v>
      </c>
      <c r="D52" s="1" t="s">
        <v>179</v>
      </c>
      <c r="H52" s="1" t="s">
        <v>397</v>
      </c>
      <c r="I52" s="1" t="s">
        <v>103</v>
      </c>
      <c r="L52" s="1" t="s">
        <v>310</v>
      </c>
      <c r="M52" s="1" t="s">
        <v>216</v>
      </c>
      <c r="R52" s="1" t="s">
        <v>398</v>
      </c>
    </row>
    <row r="53" spans="1:20" ht="31.5" x14ac:dyDescent="0.25">
      <c r="A53" s="1" t="s">
        <v>209</v>
      </c>
      <c r="B53" s="1" t="s">
        <v>41</v>
      </c>
      <c r="C53" s="1" t="s">
        <v>212</v>
      </c>
      <c r="D53" s="1" t="s">
        <v>179</v>
      </c>
      <c r="H53" s="1" t="s">
        <v>213</v>
      </c>
      <c r="I53" s="1" t="s">
        <v>50</v>
      </c>
      <c r="J53" s="1" t="s">
        <v>6</v>
      </c>
      <c r="L53" s="1" t="s">
        <v>129</v>
      </c>
      <c r="M53" s="1" t="s">
        <v>210</v>
      </c>
      <c r="N53" s="1" t="s">
        <v>109</v>
      </c>
      <c r="P53" s="1" t="s">
        <v>214</v>
      </c>
      <c r="R53" s="1" t="s">
        <v>211</v>
      </c>
    </row>
    <row r="54" spans="1:20" ht="31.5" x14ac:dyDescent="0.25">
      <c r="A54" s="1" t="s">
        <v>11</v>
      </c>
      <c r="B54" s="1" t="s">
        <v>321</v>
      </c>
      <c r="C54" s="1" t="s">
        <v>115</v>
      </c>
      <c r="D54" s="1" t="s">
        <v>147</v>
      </c>
      <c r="E54" s="1" t="s">
        <v>90</v>
      </c>
      <c r="I54" s="1" t="s">
        <v>12</v>
      </c>
      <c r="M54" s="1" t="s">
        <v>322</v>
      </c>
      <c r="N54" s="1" t="s">
        <v>315</v>
      </c>
      <c r="O54" s="1" t="s">
        <v>118</v>
      </c>
      <c r="P54" s="1" t="s">
        <v>323</v>
      </c>
      <c r="R54" s="1" t="s">
        <v>116</v>
      </c>
    </row>
    <row r="55" spans="1:20" ht="31.5" x14ac:dyDescent="0.25">
      <c r="A55" s="1" t="s">
        <v>11</v>
      </c>
      <c r="B55" s="1" t="s">
        <v>324</v>
      </c>
      <c r="C55" s="1" t="s">
        <v>115</v>
      </c>
      <c r="D55" s="1" t="s">
        <v>147</v>
      </c>
      <c r="E55" s="1" t="s">
        <v>90</v>
      </c>
      <c r="I55" s="1" t="s">
        <v>50</v>
      </c>
      <c r="M55" s="1" t="s">
        <v>322</v>
      </c>
      <c r="N55" s="1" t="s">
        <v>315</v>
      </c>
      <c r="O55" s="1" t="s">
        <v>118</v>
      </c>
      <c r="P55" s="1" t="s">
        <v>323</v>
      </c>
      <c r="R55" s="1" t="s">
        <v>116</v>
      </c>
      <c r="T55" s="1" t="s">
        <v>60</v>
      </c>
    </row>
    <row r="56" spans="1:20" ht="31.5" x14ac:dyDescent="0.25">
      <c r="A56" s="1" t="s">
        <v>232</v>
      </c>
      <c r="B56" s="1" t="s">
        <v>233</v>
      </c>
      <c r="C56" s="1" t="s">
        <v>187</v>
      </c>
      <c r="D56" s="1" t="s">
        <v>149</v>
      </c>
      <c r="E56" s="1" t="s">
        <v>90</v>
      </c>
      <c r="H56" s="1" t="s">
        <v>234</v>
      </c>
      <c r="I56" s="1" t="s">
        <v>182</v>
      </c>
      <c r="J56" s="1" t="s">
        <v>6</v>
      </c>
      <c r="L56" s="1" t="s">
        <v>5</v>
      </c>
      <c r="M56" s="1" t="s">
        <v>235</v>
      </c>
      <c r="N56" s="1" t="s">
        <v>165</v>
      </c>
      <c r="O56" s="1" t="s">
        <v>8</v>
      </c>
      <c r="R56" s="1" t="s">
        <v>130</v>
      </c>
      <c r="T56" s="1" t="s">
        <v>60</v>
      </c>
    </row>
    <row r="57" spans="1:20" x14ac:dyDescent="0.25">
      <c r="A57" s="1" t="s">
        <v>378</v>
      </c>
    </row>
    <row r="58" spans="1:20" ht="31.5" x14ac:dyDescent="0.25">
      <c r="A58" s="1" t="s">
        <v>142</v>
      </c>
      <c r="B58" s="1" t="s">
        <v>143</v>
      </c>
      <c r="C58" s="1" t="s">
        <v>144</v>
      </c>
      <c r="D58" s="1" t="s">
        <v>149</v>
      </c>
      <c r="E58" s="1" t="s">
        <v>90</v>
      </c>
      <c r="H58" s="1" t="s">
        <v>146</v>
      </c>
      <c r="I58" s="1" t="s">
        <v>103</v>
      </c>
      <c r="J58" s="1" t="s">
        <v>6</v>
      </c>
      <c r="L58" s="1" t="s">
        <v>150</v>
      </c>
      <c r="M58" s="1" t="s">
        <v>145</v>
      </c>
      <c r="N58" s="1" t="s">
        <v>148</v>
      </c>
      <c r="O58" s="1" t="s">
        <v>8</v>
      </c>
      <c r="R58" s="1" t="s">
        <v>124</v>
      </c>
      <c r="T58" s="1" t="s">
        <v>60</v>
      </c>
    </row>
    <row r="59" spans="1:20" ht="31.5" x14ac:dyDescent="0.25">
      <c r="A59" s="1" t="s">
        <v>142</v>
      </c>
      <c r="C59" s="1" t="s">
        <v>115</v>
      </c>
      <c r="D59" s="1" t="s">
        <v>154</v>
      </c>
      <c r="E59" s="1" t="s">
        <v>90</v>
      </c>
      <c r="H59" s="1" t="s">
        <v>146</v>
      </c>
      <c r="I59" s="1" t="s">
        <v>182</v>
      </c>
      <c r="J59" s="1" t="s">
        <v>6</v>
      </c>
      <c r="L59" s="1" t="s">
        <v>89</v>
      </c>
      <c r="M59" s="1" t="s">
        <v>181</v>
      </c>
      <c r="N59" s="1" t="s">
        <v>183</v>
      </c>
      <c r="O59" s="1" t="s">
        <v>8</v>
      </c>
    </row>
    <row r="60" spans="1:20" ht="31.5" x14ac:dyDescent="0.25">
      <c r="A60" s="1" t="s">
        <v>278</v>
      </c>
      <c r="B60" s="1" t="s">
        <v>43</v>
      </c>
      <c r="C60" s="1" t="s">
        <v>251</v>
      </c>
      <c r="D60" s="1" t="s">
        <v>147</v>
      </c>
      <c r="E60" s="1" t="s">
        <v>90</v>
      </c>
      <c r="I60" s="1" t="s">
        <v>10</v>
      </c>
      <c r="M60" s="1" t="s">
        <v>399</v>
      </c>
      <c r="N60" s="1" t="s">
        <v>173</v>
      </c>
      <c r="O60" s="1" t="s">
        <v>118</v>
      </c>
      <c r="P60" s="1" t="s">
        <v>280</v>
      </c>
      <c r="R60" s="1" t="s">
        <v>124</v>
      </c>
      <c r="S60" s="1" t="s">
        <v>279</v>
      </c>
      <c r="T60" s="1" t="s">
        <v>60</v>
      </c>
    </row>
    <row r="61" spans="1:20" ht="31.5" x14ac:dyDescent="0.25">
      <c r="A61" s="1" t="s">
        <v>278</v>
      </c>
      <c r="B61" s="1" t="s">
        <v>281</v>
      </c>
      <c r="C61" s="1" t="s">
        <v>251</v>
      </c>
      <c r="D61" s="1" t="s">
        <v>147</v>
      </c>
      <c r="E61" s="1" t="s">
        <v>90</v>
      </c>
      <c r="I61" s="1" t="s">
        <v>10</v>
      </c>
      <c r="M61" s="1" t="s">
        <v>400</v>
      </c>
      <c r="N61" s="1" t="s">
        <v>173</v>
      </c>
      <c r="O61" s="1" t="s">
        <v>118</v>
      </c>
      <c r="P61" s="1" t="s">
        <v>280</v>
      </c>
      <c r="R61" s="1" t="s">
        <v>124</v>
      </c>
      <c r="S61" s="1" t="s">
        <v>282</v>
      </c>
      <c r="T61" s="1" t="s">
        <v>60</v>
      </c>
    </row>
    <row r="62" spans="1:20" ht="31.5" x14ac:dyDescent="0.25">
      <c r="A62" s="1" t="s">
        <v>446</v>
      </c>
      <c r="B62" s="1" t="s">
        <v>447</v>
      </c>
      <c r="C62" s="1" t="s">
        <v>129</v>
      </c>
      <c r="D62" s="1" t="s">
        <v>179</v>
      </c>
      <c r="E62" s="1" t="s">
        <v>90</v>
      </c>
      <c r="I62" s="1" t="s">
        <v>12</v>
      </c>
      <c r="J62" s="1" t="s">
        <v>6</v>
      </c>
      <c r="L62" s="1" t="s">
        <v>89</v>
      </c>
      <c r="M62" s="1" t="s">
        <v>216</v>
      </c>
      <c r="R62" s="1" t="s">
        <v>314</v>
      </c>
    </row>
    <row r="63" spans="1:20" ht="31.5" x14ac:dyDescent="0.25">
      <c r="A63" s="1" t="s">
        <v>15</v>
      </c>
      <c r="B63" s="1" t="s">
        <v>190</v>
      </c>
      <c r="C63" s="1" t="s">
        <v>194</v>
      </c>
      <c r="D63" s="1" t="s">
        <v>195</v>
      </c>
      <c r="E63" s="1" t="s">
        <v>90</v>
      </c>
      <c r="H63" s="1" t="s">
        <v>110</v>
      </c>
      <c r="I63" s="1" t="s">
        <v>53</v>
      </c>
      <c r="L63" s="1" t="s">
        <v>192</v>
      </c>
      <c r="M63" s="1" t="s">
        <v>191</v>
      </c>
      <c r="N63" s="1" t="s">
        <v>193</v>
      </c>
      <c r="O63" s="1" t="s">
        <v>118</v>
      </c>
      <c r="R63" s="1" t="s">
        <v>124</v>
      </c>
      <c r="T63" s="1" t="s">
        <v>60</v>
      </c>
    </row>
    <row r="64" spans="1:20" ht="31.5" x14ac:dyDescent="0.25">
      <c r="A64" s="1" t="s">
        <v>440</v>
      </c>
      <c r="B64" s="1" t="s">
        <v>441</v>
      </c>
      <c r="C64" s="1" t="s">
        <v>178</v>
      </c>
      <c r="D64" s="1" t="s">
        <v>147</v>
      </c>
      <c r="E64" s="1" t="s">
        <v>90</v>
      </c>
      <c r="H64" s="1" t="s">
        <v>442</v>
      </c>
      <c r="I64" s="1" t="s">
        <v>443</v>
      </c>
      <c r="M64" s="1" t="s">
        <v>444</v>
      </c>
      <c r="R64" s="1" t="s">
        <v>292</v>
      </c>
      <c r="S64" s="1" t="s">
        <v>445</v>
      </c>
    </row>
    <row r="65" spans="1:20" ht="31.5" x14ac:dyDescent="0.25">
      <c r="A65" s="1" t="s">
        <v>167</v>
      </c>
      <c r="B65" s="1" t="s">
        <v>168</v>
      </c>
      <c r="C65" s="1" t="s">
        <v>123</v>
      </c>
      <c r="D65" s="1" t="s">
        <v>147</v>
      </c>
      <c r="E65" s="1" t="s">
        <v>90</v>
      </c>
      <c r="H65" s="1" t="s">
        <v>171</v>
      </c>
      <c r="I65" s="1" t="s">
        <v>170</v>
      </c>
      <c r="M65" s="1" t="s">
        <v>172</v>
      </c>
      <c r="N65" s="1" t="s">
        <v>169</v>
      </c>
      <c r="O65" s="1" t="s">
        <v>118</v>
      </c>
      <c r="R65" s="1" t="s">
        <v>130</v>
      </c>
    </row>
    <row r="66" spans="1:20" ht="78.75" x14ac:dyDescent="0.25">
      <c r="A66" s="1" t="s">
        <v>38</v>
      </c>
      <c r="B66" s="1" t="s">
        <v>283</v>
      </c>
      <c r="C66" s="1" t="s">
        <v>270</v>
      </c>
      <c r="D66" s="1" t="s">
        <v>179</v>
      </c>
      <c r="E66" s="1" t="s">
        <v>97</v>
      </c>
      <c r="F66" s="1" t="s">
        <v>159</v>
      </c>
      <c r="G66" s="1" t="s">
        <v>56</v>
      </c>
      <c r="H66" s="1" t="s">
        <v>261</v>
      </c>
      <c r="I66" s="1" t="s">
        <v>103</v>
      </c>
      <c r="J66" s="1" t="s">
        <v>6</v>
      </c>
      <c r="K66" s="1" t="s">
        <v>285</v>
      </c>
      <c r="L66" s="1" t="s">
        <v>251</v>
      </c>
      <c r="M66" s="1" t="s">
        <v>284</v>
      </c>
      <c r="N66" s="1" t="s">
        <v>286</v>
      </c>
      <c r="O66" s="1" t="s">
        <v>118</v>
      </c>
      <c r="P66" s="1" t="s">
        <v>287</v>
      </c>
      <c r="R66" s="1" t="s">
        <v>211</v>
      </c>
    </row>
    <row r="67" spans="1:20" x14ac:dyDescent="0.25">
      <c r="A67" s="1" t="s">
        <v>356</v>
      </c>
      <c r="B67" s="1" t="s">
        <v>357</v>
      </c>
      <c r="C67" s="1" t="s">
        <v>123</v>
      </c>
      <c r="M67" s="1" t="s">
        <v>134</v>
      </c>
      <c r="N67" s="1" t="s">
        <v>109</v>
      </c>
      <c r="O67" s="1" t="s">
        <v>8</v>
      </c>
      <c r="R67" s="1" t="s">
        <v>151</v>
      </c>
    </row>
    <row r="68" spans="1:20" ht="63" x14ac:dyDescent="0.25">
      <c r="A68" s="1" t="s">
        <v>45</v>
      </c>
      <c r="B68" s="1" t="s">
        <v>93</v>
      </c>
      <c r="C68" s="1" t="s">
        <v>4</v>
      </c>
      <c r="D68" s="1" t="s">
        <v>95</v>
      </c>
      <c r="E68" s="1" t="s">
        <v>97</v>
      </c>
      <c r="F68" s="1" t="s">
        <v>105</v>
      </c>
      <c r="G68" s="1" t="s">
        <v>55</v>
      </c>
      <c r="H68" s="1" t="s">
        <v>100</v>
      </c>
      <c r="I68" s="1" t="s">
        <v>12</v>
      </c>
      <c r="J68" s="1" t="s">
        <v>99</v>
      </c>
      <c r="K68" s="1" t="s">
        <v>101</v>
      </c>
      <c r="L68" s="1" t="s">
        <v>89</v>
      </c>
      <c r="M68" s="1" t="s">
        <v>94</v>
      </c>
      <c r="N68" s="1" t="s">
        <v>102</v>
      </c>
      <c r="O68" s="1" t="s">
        <v>7</v>
      </c>
      <c r="P68" s="1" t="s">
        <v>104</v>
      </c>
      <c r="R68" s="1" t="s">
        <v>98</v>
      </c>
      <c r="S68" s="1" t="s">
        <v>96</v>
      </c>
      <c r="T68" s="1" t="s">
        <v>60</v>
      </c>
    </row>
    <row r="69" spans="1:20" ht="63" x14ac:dyDescent="0.25">
      <c r="A69" s="1" t="s">
        <v>45</v>
      </c>
      <c r="B69" s="1" t="s">
        <v>128</v>
      </c>
      <c r="C69" s="1" t="s">
        <v>129</v>
      </c>
      <c r="D69" s="1" t="s">
        <v>95</v>
      </c>
      <c r="E69" s="1" t="s">
        <v>97</v>
      </c>
      <c r="F69" s="1" t="s">
        <v>105</v>
      </c>
      <c r="G69" s="1" t="s">
        <v>55</v>
      </c>
      <c r="H69" s="1" t="s">
        <v>100</v>
      </c>
      <c r="I69" s="1" t="s">
        <v>12</v>
      </c>
      <c r="J69" s="1" t="s">
        <v>99</v>
      </c>
      <c r="K69" s="1" t="s">
        <v>101</v>
      </c>
      <c r="L69" s="1" t="s">
        <v>89</v>
      </c>
      <c r="M69" s="1" t="s">
        <v>94</v>
      </c>
      <c r="N69" s="1" t="s">
        <v>102</v>
      </c>
      <c r="O69" s="1" t="s">
        <v>7</v>
      </c>
      <c r="P69" s="1" t="s">
        <v>104</v>
      </c>
      <c r="R69" s="1" t="s">
        <v>130</v>
      </c>
      <c r="T69" s="1" t="s">
        <v>60</v>
      </c>
    </row>
    <row r="70" spans="1:20" ht="63" x14ac:dyDescent="0.25">
      <c r="A70" s="1" t="s">
        <v>273</v>
      </c>
      <c r="B70" s="1" t="s">
        <v>274</v>
      </c>
      <c r="C70" s="1" t="s">
        <v>129</v>
      </c>
      <c r="D70" s="1" t="s">
        <v>179</v>
      </c>
      <c r="E70" s="1" t="s">
        <v>97</v>
      </c>
      <c r="F70" s="1" t="s">
        <v>105</v>
      </c>
      <c r="G70" s="1" t="s">
        <v>226</v>
      </c>
      <c r="H70" s="1" t="s">
        <v>227</v>
      </c>
      <c r="I70" s="1" t="s">
        <v>103</v>
      </c>
      <c r="J70" s="1" t="s">
        <v>6</v>
      </c>
      <c r="K70" s="1" t="s">
        <v>218</v>
      </c>
      <c r="L70" s="1" t="s">
        <v>89</v>
      </c>
      <c r="M70" s="1" t="s">
        <v>275</v>
      </c>
      <c r="N70" s="1" t="s">
        <v>228</v>
      </c>
      <c r="O70" s="1" t="s">
        <v>8</v>
      </c>
      <c r="P70" s="1" t="s">
        <v>267</v>
      </c>
      <c r="R70" s="1" t="s">
        <v>258</v>
      </c>
      <c r="S70" s="1" t="s">
        <v>266</v>
      </c>
      <c r="T70" s="1" t="s">
        <v>60</v>
      </c>
    </row>
    <row r="71" spans="1:20" ht="63" x14ac:dyDescent="0.25">
      <c r="A71" s="1" t="s">
        <v>269</v>
      </c>
      <c r="B71" s="1" t="s">
        <v>64</v>
      </c>
      <c r="C71" s="1" t="s">
        <v>129</v>
      </c>
      <c r="D71" s="1" t="s">
        <v>179</v>
      </c>
      <c r="E71" s="1" t="s">
        <v>97</v>
      </c>
      <c r="F71" s="1" t="s">
        <v>105</v>
      </c>
      <c r="G71" s="1" t="s">
        <v>226</v>
      </c>
      <c r="H71" s="1" t="s">
        <v>227</v>
      </c>
      <c r="I71" s="1" t="s">
        <v>103</v>
      </c>
      <c r="J71" s="1" t="s">
        <v>6</v>
      </c>
      <c r="K71" s="1" t="s">
        <v>218</v>
      </c>
      <c r="L71" s="1" t="s">
        <v>89</v>
      </c>
      <c r="M71" s="1" t="s">
        <v>265</v>
      </c>
      <c r="N71" s="1" t="s">
        <v>228</v>
      </c>
      <c r="O71" s="1" t="s">
        <v>8</v>
      </c>
      <c r="P71" s="1" t="s">
        <v>267</v>
      </c>
      <c r="R71" s="1" t="s">
        <v>230</v>
      </c>
      <c r="S71" s="1" t="s">
        <v>266</v>
      </c>
    </row>
    <row r="72" spans="1:20" ht="63" x14ac:dyDescent="0.25">
      <c r="A72" s="1" t="s">
        <v>269</v>
      </c>
      <c r="B72" s="1" t="s">
        <v>437</v>
      </c>
      <c r="C72" s="1" t="s">
        <v>129</v>
      </c>
      <c r="D72" s="1" t="s">
        <v>179</v>
      </c>
      <c r="E72" s="1" t="s">
        <v>97</v>
      </c>
      <c r="F72" s="1" t="s">
        <v>105</v>
      </c>
      <c r="G72" s="1" t="s">
        <v>226</v>
      </c>
      <c r="H72" s="1" t="s">
        <v>438</v>
      </c>
      <c r="I72" s="1">
        <v>1</v>
      </c>
      <c r="J72" s="1" t="s">
        <v>6</v>
      </c>
      <c r="K72" s="1" t="s">
        <v>218</v>
      </c>
      <c r="L72" s="1" t="s">
        <v>89</v>
      </c>
      <c r="M72" s="1" t="s">
        <v>265</v>
      </c>
      <c r="N72" s="1" t="s">
        <v>228</v>
      </c>
      <c r="O72" s="1" t="s">
        <v>8</v>
      </c>
      <c r="P72" s="1" t="s">
        <v>267</v>
      </c>
      <c r="R72" s="1" t="s">
        <v>230</v>
      </c>
      <c r="S72" s="1" t="s">
        <v>266</v>
      </c>
    </row>
    <row r="73" spans="1:20" ht="63" x14ac:dyDescent="0.25">
      <c r="A73" s="1" t="s">
        <v>269</v>
      </c>
      <c r="B73" s="1" t="s">
        <v>63</v>
      </c>
      <c r="C73" s="1" t="s">
        <v>270</v>
      </c>
      <c r="D73" s="1" t="s">
        <v>179</v>
      </c>
      <c r="E73" s="1" t="s">
        <v>97</v>
      </c>
      <c r="F73" s="1" t="s">
        <v>105</v>
      </c>
      <c r="G73" s="1" t="s">
        <v>226</v>
      </c>
      <c r="H73" s="1" t="s">
        <v>271</v>
      </c>
      <c r="I73" s="1" t="s">
        <v>103</v>
      </c>
      <c r="J73" s="1" t="s">
        <v>6</v>
      </c>
      <c r="K73" s="1" t="s">
        <v>218</v>
      </c>
      <c r="L73" s="1" t="s">
        <v>89</v>
      </c>
      <c r="M73" s="1" t="s">
        <v>272</v>
      </c>
      <c r="N73" s="1" t="s">
        <v>228</v>
      </c>
      <c r="O73" s="1" t="s">
        <v>8</v>
      </c>
      <c r="P73" s="1" t="s">
        <v>267</v>
      </c>
      <c r="R73" s="1" t="s">
        <v>211</v>
      </c>
      <c r="S73" s="1" t="s">
        <v>266</v>
      </c>
    </row>
    <row r="74" spans="1:20" ht="63" x14ac:dyDescent="0.25">
      <c r="A74" s="1" t="s">
        <v>268</v>
      </c>
      <c r="B74" s="1" t="s">
        <v>434</v>
      </c>
      <c r="C74" s="1" t="s">
        <v>225</v>
      </c>
      <c r="D74" s="1" t="s">
        <v>179</v>
      </c>
      <c r="E74" s="1" t="s">
        <v>97</v>
      </c>
      <c r="F74" s="1" t="s">
        <v>105</v>
      </c>
      <c r="G74" s="1" t="s">
        <v>226</v>
      </c>
      <c r="H74" s="1" t="s">
        <v>435</v>
      </c>
      <c r="I74" s="1" t="s">
        <v>182</v>
      </c>
      <c r="J74" s="1" t="s">
        <v>6</v>
      </c>
      <c r="K74" s="1" t="s">
        <v>218</v>
      </c>
      <c r="L74" s="1" t="s">
        <v>89</v>
      </c>
      <c r="M74" s="1" t="s">
        <v>433</v>
      </c>
      <c r="N74" s="1" t="s">
        <v>228</v>
      </c>
      <c r="O74" s="1" t="s">
        <v>8</v>
      </c>
      <c r="P74" s="1" t="s">
        <v>267</v>
      </c>
      <c r="R74" s="1" t="s">
        <v>292</v>
      </c>
    </row>
    <row r="75" spans="1:20" ht="63" x14ac:dyDescent="0.25">
      <c r="A75" s="1" t="s">
        <v>268</v>
      </c>
      <c r="B75" s="1" t="s">
        <v>430</v>
      </c>
      <c r="C75" s="1" t="s">
        <v>431</v>
      </c>
      <c r="D75" s="1" t="s">
        <v>179</v>
      </c>
      <c r="E75" s="1" t="s">
        <v>97</v>
      </c>
      <c r="F75" s="1" t="s">
        <v>105</v>
      </c>
      <c r="G75" s="1" t="s">
        <v>226</v>
      </c>
      <c r="H75" s="1" t="s">
        <v>432</v>
      </c>
      <c r="I75" s="1" t="s">
        <v>103</v>
      </c>
      <c r="J75" s="1" t="s">
        <v>6</v>
      </c>
      <c r="K75" s="1" t="s">
        <v>218</v>
      </c>
      <c r="L75" s="1" t="s">
        <v>89</v>
      </c>
      <c r="M75" s="1" t="s">
        <v>436</v>
      </c>
      <c r="N75" s="1" t="s">
        <v>228</v>
      </c>
      <c r="O75" s="1" t="s">
        <v>8</v>
      </c>
      <c r="P75" s="1" t="s">
        <v>267</v>
      </c>
      <c r="R75" s="1" t="s">
        <v>292</v>
      </c>
    </row>
    <row r="76" spans="1:20" ht="47.25" x14ac:dyDescent="0.25">
      <c r="A76" s="1" t="s">
        <v>268</v>
      </c>
      <c r="B76" s="1" t="s">
        <v>224</v>
      </c>
      <c r="C76" s="1" t="s">
        <v>225</v>
      </c>
      <c r="D76" s="1" t="s">
        <v>179</v>
      </c>
      <c r="E76" s="1" t="s">
        <v>97</v>
      </c>
      <c r="F76" s="1" t="s">
        <v>105</v>
      </c>
      <c r="G76" s="1" t="s">
        <v>226</v>
      </c>
      <c r="H76" s="1" t="s">
        <v>227</v>
      </c>
      <c r="I76" s="1" t="s">
        <v>103</v>
      </c>
      <c r="J76" s="1" t="s">
        <v>6</v>
      </c>
      <c r="K76" s="1" t="s">
        <v>218</v>
      </c>
      <c r="L76" s="1" t="s">
        <v>89</v>
      </c>
      <c r="M76" s="1" t="s">
        <v>231</v>
      </c>
      <c r="N76" s="1" t="s">
        <v>228</v>
      </c>
      <c r="O76" s="1" t="s">
        <v>8</v>
      </c>
      <c r="P76" s="1" t="s">
        <v>229</v>
      </c>
      <c r="R76" s="1" t="s">
        <v>230</v>
      </c>
      <c r="T76" s="1" t="s">
        <v>60</v>
      </c>
    </row>
    <row r="77" spans="1:20" ht="63" x14ac:dyDescent="0.25">
      <c r="A77" s="1" t="s">
        <v>276</v>
      </c>
      <c r="B77" s="1" t="s">
        <v>277</v>
      </c>
      <c r="C77" s="1" t="s">
        <v>129</v>
      </c>
      <c r="D77" s="1" t="s">
        <v>179</v>
      </c>
      <c r="E77" s="1" t="s">
        <v>97</v>
      </c>
      <c r="F77" s="1" t="s">
        <v>105</v>
      </c>
      <c r="G77" s="1" t="s">
        <v>226</v>
      </c>
      <c r="H77" s="1" t="s">
        <v>227</v>
      </c>
      <c r="I77" s="1" t="s">
        <v>103</v>
      </c>
      <c r="J77" s="1" t="s">
        <v>6</v>
      </c>
      <c r="K77" s="1" t="s">
        <v>218</v>
      </c>
      <c r="L77" s="1" t="s">
        <v>89</v>
      </c>
      <c r="M77" s="1" t="s">
        <v>265</v>
      </c>
      <c r="N77" s="1" t="s">
        <v>228</v>
      </c>
      <c r="O77" s="1" t="s">
        <v>8</v>
      </c>
      <c r="P77" s="1" t="s">
        <v>267</v>
      </c>
      <c r="R77" s="1" t="s">
        <v>258</v>
      </c>
      <c r="S77" s="1" t="s">
        <v>266</v>
      </c>
      <c r="T77" s="1" t="s">
        <v>60</v>
      </c>
    </row>
    <row r="78" spans="1:20" ht="63" x14ac:dyDescent="0.25">
      <c r="A78" s="1" t="s">
        <v>276</v>
      </c>
      <c r="B78" s="1" t="s">
        <v>439</v>
      </c>
      <c r="C78" s="1" t="s">
        <v>129</v>
      </c>
      <c r="D78" s="1" t="s">
        <v>179</v>
      </c>
      <c r="E78" s="1" t="s">
        <v>97</v>
      </c>
      <c r="F78" s="1" t="s">
        <v>105</v>
      </c>
      <c r="G78" s="1" t="s">
        <v>226</v>
      </c>
      <c r="H78" s="1" t="s">
        <v>227</v>
      </c>
      <c r="I78" s="1" t="s">
        <v>103</v>
      </c>
      <c r="J78" s="1" t="s">
        <v>6</v>
      </c>
      <c r="K78" s="1" t="s">
        <v>218</v>
      </c>
      <c r="L78" s="1" t="s">
        <v>89</v>
      </c>
      <c r="M78" s="1" t="s">
        <v>265</v>
      </c>
      <c r="N78" s="1" t="s">
        <v>228</v>
      </c>
      <c r="O78" s="1" t="s">
        <v>8</v>
      </c>
      <c r="P78" s="1" t="s">
        <v>267</v>
      </c>
      <c r="R78" s="1" t="s">
        <v>258</v>
      </c>
    </row>
    <row r="79" spans="1:20" ht="47.25" x14ac:dyDescent="0.25">
      <c r="A79" s="1" t="s">
        <v>364</v>
      </c>
      <c r="B79" s="1" t="s">
        <v>365</v>
      </c>
      <c r="C79" s="1" t="s">
        <v>314</v>
      </c>
      <c r="D79" s="1" t="s">
        <v>147</v>
      </c>
      <c r="E79" s="1" t="s">
        <v>90</v>
      </c>
      <c r="M79" s="1" t="s">
        <v>235</v>
      </c>
      <c r="N79" s="1" t="s">
        <v>374</v>
      </c>
      <c r="R79" s="1" t="s">
        <v>192</v>
      </c>
      <c r="T79" s="1" t="s">
        <v>60</v>
      </c>
    </row>
    <row r="80" spans="1:20" ht="47.25" x14ac:dyDescent="0.25">
      <c r="A80" s="1" t="s">
        <v>364</v>
      </c>
      <c r="B80" s="1" t="s">
        <v>366</v>
      </c>
      <c r="C80" s="1" t="s">
        <v>314</v>
      </c>
      <c r="D80" s="1" t="s">
        <v>147</v>
      </c>
      <c r="E80" s="1" t="s">
        <v>90</v>
      </c>
      <c r="M80" s="1" t="s">
        <v>235</v>
      </c>
      <c r="N80" s="1" t="s">
        <v>374</v>
      </c>
      <c r="R80" s="1" t="s">
        <v>192</v>
      </c>
      <c r="T80" s="1" t="s">
        <v>60</v>
      </c>
    </row>
    <row r="81" spans="1:20" ht="47.25" x14ac:dyDescent="0.25">
      <c r="A81" s="1" t="s">
        <v>48</v>
      </c>
      <c r="B81" s="1" t="s">
        <v>49</v>
      </c>
      <c r="C81" s="1" t="s">
        <v>251</v>
      </c>
      <c r="D81" s="1" t="s">
        <v>252</v>
      </c>
      <c r="E81" s="1" t="s">
        <v>97</v>
      </c>
      <c r="F81" s="1" t="s">
        <v>159</v>
      </c>
      <c r="G81" s="1" t="s">
        <v>57</v>
      </c>
      <c r="H81" s="1" t="s">
        <v>261</v>
      </c>
      <c r="I81" s="1" t="s">
        <v>10</v>
      </c>
      <c r="J81" s="1" t="s">
        <v>6</v>
      </c>
      <c r="K81" s="1" t="s">
        <v>253</v>
      </c>
      <c r="L81" s="1" t="s">
        <v>89</v>
      </c>
      <c r="M81" s="1" t="s">
        <v>260</v>
      </c>
      <c r="N81" s="1" t="s">
        <v>193</v>
      </c>
      <c r="O81" s="1" t="s">
        <v>118</v>
      </c>
      <c r="P81" s="1" t="s">
        <v>262</v>
      </c>
      <c r="R81" s="1" t="s">
        <v>130</v>
      </c>
      <c r="T81" s="1" t="s">
        <v>60</v>
      </c>
    </row>
    <row r="82" spans="1:20" ht="47.25" x14ac:dyDescent="0.25">
      <c r="A82" s="1" t="s">
        <v>48</v>
      </c>
      <c r="B82" s="1" t="s">
        <v>263</v>
      </c>
      <c r="C82" s="1" t="s">
        <v>251</v>
      </c>
      <c r="D82" s="1" t="s">
        <v>252</v>
      </c>
      <c r="E82" s="1" t="s">
        <v>97</v>
      </c>
      <c r="F82" s="1" t="s">
        <v>159</v>
      </c>
      <c r="G82" s="1" t="s">
        <v>57</v>
      </c>
      <c r="H82" s="1" t="s">
        <v>261</v>
      </c>
      <c r="I82" s="1" t="s">
        <v>10</v>
      </c>
      <c r="J82" s="1" t="s">
        <v>6</v>
      </c>
      <c r="K82" s="1" t="s">
        <v>253</v>
      </c>
      <c r="L82" s="1" t="s">
        <v>89</v>
      </c>
      <c r="M82" s="1" t="s">
        <v>260</v>
      </c>
      <c r="N82" s="1" t="s">
        <v>193</v>
      </c>
      <c r="O82" s="1" t="s">
        <v>118</v>
      </c>
      <c r="P82" s="1" t="s">
        <v>262</v>
      </c>
      <c r="R82" s="1" t="s">
        <v>130</v>
      </c>
      <c r="S82" s="1" t="s">
        <v>264</v>
      </c>
      <c r="T82" s="1" t="s">
        <v>60</v>
      </c>
    </row>
    <row r="83" spans="1:20" ht="47.25" x14ac:dyDescent="0.25">
      <c r="A83" s="1" t="s">
        <v>48</v>
      </c>
      <c r="B83" s="1" t="s">
        <v>419</v>
      </c>
      <c r="C83" s="1" t="s">
        <v>178</v>
      </c>
      <c r="D83" s="1" t="s">
        <v>252</v>
      </c>
      <c r="E83" s="1" t="s">
        <v>97</v>
      </c>
      <c r="F83" s="1" t="s">
        <v>159</v>
      </c>
      <c r="G83" s="1" t="s">
        <v>57</v>
      </c>
      <c r="H83" s="1" t="s">
        <v>261</v>
      </c>
      <c r="I83" s="1" t="s">
        <v>10</v>
      </c>
      <c r="J83" s="1" t="s">
        <v>6</v>
      </c>
      <c r="K83" s="1" t="s">
        <v>253</v>
      </c>
      <c r="L83" s="1" t="s">
        <v>89</v>
      </c>
      <c r="M83" s="1" t="s">
        <v>260</v>
      </c>
      <c r="N83" s="1" t="s">
        <v>193</v>
      </c>
      <c r="O83" s="1" t="s">
        <v>118</v>
      </c>
      <c r="P83" s="1" t="s">
        <v>262</v>
      </c>
      <c r="R83" s="1" t="s">
        <v>211</v>
      </c>
    </row>
    <row r="84" spans="1:20" ht="31.5" x14ac:dyDescent="0.25">
      <c r="A84" s="1" t="s">
        <v>345</v>
      </c>
      <c r="B84" s="1" t="s">
        <v>346</v>
      </c>
      <c r="C84" s="1" t="s">
        <v>251</v>
      </c>
      <c r="D84" s="1" t="s">
        <v>179</v>
      </c>
      <c r="E84" s="1" t="s">
        <v>97</v>
      </c>
      <c r="F84" s="1" t="s">
        <v>348</v>
      </c>
      <c r="G84" s="1" t="s">
        <v>350</v>
      </c>
      <c r="H84" s="1" t="s">
        <v>234</v>
      </c>
      <c r="I84" s="1" t="s">
        <v>351</v>
      </c>
      <c r="J84" s="1" t="s">
        <v>6</v>
      </c>
      <c r="K84" s="1" t="s">
        <v>349</v>
      </c>
      <c r="L84" s="1" t="s">
        <v>89</v>
      </c>
      <c r="M84" s="1" t="s">
        <v>347</v>
      </c>
      <c r="N84" s="1" t="s">
        <v>337</v>
      </c>
      <c r="O84" s="1" t="s">
        <v>8</v>
      </c>
      <c r="R84" s="1" t="s">
        <v>230</v>
      </c>
      <c r="T84" s="1" t="s">
        <v>60</v>
      </c>
    </row>
    <row r="85" spans="1:20" ht="47.25" x14ac:dyDescent="0.25">
      <c r="A85" s="1" t="s">
        <v>418</v>
      </c>
      <c r="B85" s="1" t="s">
        <v>415</v>
      </c>
      <c r="C85" s="1" t="s">
        <v>416</v>
      </c>
      <c r="D85" s="1" t="s">
        <v>147</v>
      </c>
      <c r="E85" s="1" t="s">
        <v>90</v>
      </c>
      <c r="I85" s="1" t="s">
        <v>417</v>
      </c>
      <c r="M85" s="1" t="s">
        <v>235</v>
      </c>
    </row>
  </sheetData>
  <phoneticPr fontId="2" type="noConversion"/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8737E-BB03-4807-8E02-9340136BA1DE}">
  <dimension ref="A1:AD30"/>
  <sheetViews>
    <sheetView topLeftCell="AM2" workbookViewId="0">
      <selection activeCell="E18" sqref="E18"/>
    </sheetView>
  </sheetViews>
  <sheetFormatPr baseColWidth="10" defaultRowHeight="15.75" x14ac:dyDescent="0.25"/>
  <cols>
    <col min="1" max="1" width="17" style="6" customWidth="1"/>
    <col min="2" max="2" width="6" bestFit="1" customWidth="1"/>
    <col min="3" max="5" width="3.375" bestFit="1" customWidth="1"/>
    <col min="6" max="6" width="6" bestFit="1" customWidth="1"/>
    <col min="7" max="7" width="3.375" bestFit="1" customWidth="1"/>
    <col min="8" max="8" width="6" bestFit="1" customWidth="1"/>
    <col min="9" max="10" width="3.375" bestFit="1" customWidth="1"/>
    <col min="11" max="11" width="6" bestFit="1" customWidth="1"/>
    <col min="12" max="25" width="3.375" bestFit="1" customWidth="1"/>
    <col min="26" max="26" width="6" bestFit="1" customWidth="1"/>
    <col min="27" max="30" width="3.375" bestFit="1" customWidth="1"/>
  </cols>
  <sheetData>
    <row r="1" spans="1:30" s="14" customFormat="1" ht="78" customHeight="1" x14ac:dyDescent="0.25">
      <c r="A1" s="10" t="s">
        <v>448</v>
      </c>
      <c r="B1" s="11" t="s">
        <v>22</v>
      </c>
      <c r="C1" s="11" t="s">
        <v>422</v>
      </c>
      <c r="D1" s="12" t="s">
        <v>162</v>
      </c>
      <c r="E1" s="11" t="s">
        <v>24</v>
      </c>
      <c r="F1" s="12" t="s">
        <v>39</v>
      </c>
      <c r="G1" s="11" t="s">
        <v>404</v>
      </c>
      <c r="H1" s="11" t="s">
        <v>242</v>
      </c>
      <c r="I1" s="11" t="s">
        <v>25</v>
      </c>
      <c r="J1" s="11" t="s">
        <v>9</v>
      </c>
      <c r="K1" s="11" t="s">
        <v>294</v>
      </c>
      <c r="L1" s="12" t="s">
        <v>375</v>
      </c>
      <c r="M1" s="11" t="s">
        <v>40</v>
      </c>
      <c r="N1" s="11" t="s">
        <v>27</v>
      </c>
      <c r="O1" s="11" t="s">
        <v>358</v>
      </c>
      <c r="P1" s="12" t="s">
        <v>29</v>
      </c>
      <c r="Q1" s="12" t="s">
        <v>2</v>
      </c>
      <c r="R1" s="11" t="s">
        <v>449</v>
      </c>
      <c r="S1" s="12" t="s">
        <v>395</v>
      </c>
      <c r="T1" s="11" t="s">
        <v>209</v>
      </c>
      <c r="U1" s="12" t="s">
        <v>11</v>
      </c>
      <c r="V1" s="12" t="s">
        <v>278</v>
      </c>
      <c r="W1" s="12" t="s">
        <v>446</v>
      </c>
      <c r="X1" s="12" t="s">
        <v>440</v>
      </c>
      <c r="Y1" s="11" t="s">
        <v>167</v>
      </c>
      <c r="Z1" s="12" t="s">
        <v>38</v>
      </c>
      <c r="AA1" s="12" t="s">
        <v>45</v>
      </c>
      <c r="AB1" s="11" t="s">
        <v>48</v>
      </c>
      <c r="AC1" s="12" t="s">
        <v>345</v>
      </c>
      <c r="AD1" s="13" t="s">
        <v>418</v>
      </c>
    </row>
    <row r="2" spans="1:30" x14ac:dyDescent="0.25">
      <c r="A2" s="7" t="s">
        <v>22</v>
      </c>
    </row>
    <row r="3" spans="1:30" x14ac:dyDescent="0.25">
      <c r="A3" s="7" t="s">
        <v>422</v>
      </c>
    </row>
    <row r="4" spans="1:30" x14ac:dyDescent="0.25">
      <c r="A4" s="8" t="s">
        <v>162</v>
      </c>
    </row>
    <row r="5" spans="1:30" x14ac:dyDescent="0.25">
      <c r="A5" s="7" t="s">
        <v>24</v>
      </c>
    </row>
    <row r="6" spans="1:30" x14ac:dyDescent="0.25">
      <c r="A6" s="8" t="s">
        <v>39</v>
      </c>
    </row>
    <row r="7" spans="1:30" x14ac:dyDescent="0.25">
      <c r="A7" s="7" t="s">
        <v>404</v>
      </c>
    </row>
    <row r="8" spans="1:30" x14ac:dyDescent="0.25">
      <c r="A8" s="7" t="s">
        <v>242</v>
      </c>
    </row>
    <row r="9" spans="1:30" x14ac:dyDescent="0.25">
      <c r="A9" s="7" t="s">
        <v>25</v>
      </c>
    </row>
    <row r="10" spans="1:30" x14ac:dyDescent="0.25">
      <c r="A10" s="7" t="s">
        <v>9</v>
      </c>
    </row>
    <row r="11" spans="1:30" x14ac:dyDescent="0.25">
      <c r="A11" s="7" t="s">
        <v>294</v>
      </c>
    </row>
    <row r="12" spans="1:30" x14ac:dyDescent="0.25">
      <c r="A12" s="8" t="s">
        <v>375</v>
      </c>
    </row>
    <row r="13" spans="1:30" x14ac:dyDescent="0.25">
      <c r="A13" s="7" t="s">
        <v>40</v>
      </c>
    </row>
    <row r="14" spans="1:30" x14ac:dyDescent="0.25">
      <c r="A14" s="7" t="s">
        <v>27</v>
      </c>
    </row>
    <row r="15" spans="1:30" x14ac:dyDescent="0.25">
      <c r="A15" s="7" t="s">
        <v>358</v>
      </c>
    </row>
    <row r="16" spans="1:30" x14ac:dyDescent="0.25">
      <c r="A16" s="8" t="s">
        <v>29</v>
      </c>
    </row>
    <row r="17" spans="1:5" x14ac:dyDescent="0.25">
      <c r="A17" s="8" t="s">
        <v>2</v>
      </c>
    </row>
    <row r="18" spans="1:5" x14ac:dyDescent="0.25">
      <c r="A18" s="7" t="s">
        <v>449</v>
      </c>
      <c r="E18" t="s">
        <v>451</v>
      </c>
    </row>
    <row r="19" spans="1:5" x14ac:dyDescent="0.25">
      <c r="A19" s="8" t="s">
        <v>395</v>
      </c>
    </row>
    <row r="20" spans="1:5" x14ac:dyDescent="0.25">
      <c r="A20" s="7" t="s">
        <v>209</v>
      </c>
    </row>
    <row r="21" spans="1:5" x14ac:dyDescent="0.25">
      <c r="A21" s="8" t="s">
        <v>11</v>
      </c>
    </row>
    <row r="22" spans="1:5" x14ac:dyDescent="0.25">
      <c r="A22" s="8" t="s">
        <v>278</v>
      </c>
    </row>
    <row r="23" spans="1:5" x14ac:dyDescent="0.25">
      <c r="A23" s="8" t="s">
        <v>446</v>
      </c>
    </row>
    <row r="24" spans="1:5" x14ac:dyDescent="0.25">
      <c r="A24" s="8" t="s">
        <v>440</v>
      </c>
    </row>
    <row r="25" spans="1:5" x14ac:dyDescent="0.25">
      <c r="A25" s="7" t="s">
        <v>167</v>
      </c>
    </row>
    <row r="26" spans="1:5" x14ac:dyDescent="0.25">
      <c r="A26" s="8" t="s">
        <v>38</v>
      </c>
    </row>
    <row r="27" spans="1:5" x14ac:dyDescent="0.25">
      <c r="A27" s="8" t="s">
        <v>45</v>
      </c>
      <c r="E27" t="s">
        <v>450</v>
      </c>
    </row>
    <row r="28" spans="1:5" x14ac:dyDescent="0.25">
      <c r="A28" s="7" t="s">
        <v>48</v>
      </c>
    </row>
    <row r="29" spans="1:5" x14ac:dyDescent="0.25">
      <c r="A29" s="8" t="s">
        <v>345</v>
      </c>
    </row>
    <row r="30" spans="1:5" x14ac:dyDescent="0.25">
      <c r="A30" s="9" t="s">
        <v>418</v>
      </c>
      <c r="E30" t="s">
        <v>451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BF2B9-837D-473D-A031-8006EF9F70B0}">
  <sheetPr codeName="Tabelle2"/>
  <dimension ref="A1:B53"/>
  <sheetViews>
    <sheetView workbookViewId="0">
      <selection activeCell="B1" sqref="B1"/>
    </sheetView>
  </sheetViews>
  <sheetFormatPr baseColWidth="10" defaultRowHeight="15.75" x14ac:dyDescent="0.25"/>
  <sheetData>
    <row r="1" spans="1:2" x14ac:dyDescent="0.25">
      <c r="A1" t="str" cm="1">
        <f t="array" ref="A1:A53">_xlfn.UNIQUE(Datenbank[Art])</f>
        <v>Basilikum</v>
      </c>
      <c r="B1" t="str" cm="1">
        <f t="array" ref="B1:B5">_xlfn._xlws.FILTER(Anzuchtdatenbank!B:B,Anzuchtdatenbank!A:A = '2026'!A2)</f>
        <v>Lila Luzi</v>
      </c>
    </row>
    <row r="2" spans="1:2" x14ac:dyDescent="0.25">
      <c r="A2" t="str">
        <v>Bechermalve</v>
      </c>
      <c r="B2" t="str">
        <v>Gochugaru (North Korean)</v>
      </c>
    </row>
    <row r="3" spans="1:2" x14ac:dyDescent="0.25">
      <c r="A3" t="str">
        <v>Blattkoriander</v>
      </c>
      <c r="B3" t="str">
        <v>Haus Paprika</v>
      </c>
    </row>
    <row r="4" spans="1:2" x14ac:dyDescent="0.25">
      <c r="A4" t="str">
        <v>Blumenkohl</v>
      </c>
      <c r="B4" t="str">
        <v>Pepperoni Pagels</v>
      </c>
    </row>
    <row r="5" spans="1:2" x14ac:dyDescent="0.25">
      <c r="A5" t="str">
        <v>Bok Choy</v>
      </c>
      <c r="B5" t="str">
        <v>Elefonatenrüssel</v>
      </c>
    </row>
    <row r="6" spans="1:2" x14ac:dyDescent="0.25">
      <c r="A6" t="str">
        <v>Borretsch</v>
      </c>
    </row>
    <row r="7" spans="1:2" x14ac:dyDescent="0.25">
      <c r="A7" t="str">
        <v>Brokkoli</v>
      </c>
    </row>
    <row r="8" spans="1:2" x14ac:dyDescent="0.25">
      <c r="A8" t="str">
        <v>Buschbohne</v>
      </c>
    </row>
    <row r="9" spans="1:2" x14ac:dyDescent="0.25">
      <c r="A9" t="str">
        <v>Chilli</v>
      </c>
    </row>
    <row r="10" spans="1:2" x14ac:dyDescent="0.25">
      <c r="A10" t="str">
        <v>Cosmea</v>
      </c>
    </row>
    <row r="11" spans="1:2" x14ac:dyDescent="0.25">
      <c r="A11" t="str">
        <v>Dill</v>
      </c>
    </row>
    <row r="12" spans="1:2" x14ac:dyDescent="0.25">
      <c r="A12" t="str">
        <v>Einlegegurke</v>
      </c>
    </row>
    <row r="13" spans="1:2" x14ac:dyDescent="0.25">
      <c r="A13" t="str">
        <v>Endivien</v>
      </c>
    </row>
    <row r="14" spans="1:2" x14ac:dyDescent="0.25">
      <c r="A14" t="str">
        <v>Gartenkresse</v>
      </c>
    </row>
    <row r="15" spans="1:2" x14ac:dyDescent="0.25">
      <c r="A15" t="str">
        <v>Grünkohl</v>
      </c>
    </row>
    <row r="16" spans="1:2" x14ac:dyDescent="0.25">
      <c r="A16" t="str">
        <v>Gurke</v>
      </c>
    </row>
    <row r="17" spans="1:1" x14ac:dyDescent="0.25">
      <c r="A17" t="str">
        <v>Honigmelone</v>
      </c>
    </row>
    <row r="18" spans="1:1" x14ac:dyDescent="0.25">
      <c r="A18" t="str">
        <v>Jungfer im Grünen</v>
      </c>
    </row>
    <row r="19" spans="1:1" x14ac:dyDescent="0.25">
      <c r="A19" t="str">
        <v>Kamille</v>
      </c>
    </row>
    <row r="20" spans="1:1" x14ac:dyDescent="0.25">
      <c r="A20" t="str">
        <v>Kapuzinerkresse</v>
      </c>
    </row>
    <row r="21" spans="1:1" x14ac:dyDescent="0.25">
      <c r="A21" t="str">
        <v>Kartoffeln</v>
      </c>
    </row>
    <row r="22" spans="1:1" x14ac:dyDescent="0.25">
      <c r="A22" t="str">
        <v>Knoblauch</v>
      </c>
    </row>
    <row r="23" spans="1:1" x14ac:dyDescent="0.25">
      <c r="A23" t="str">
        <v>Kohlrabi</v>
      </c>
    </row>
    <row r="24" spans="1:1" x14ac:dyDescent="0.25">
      <c r="A24" t="str">
        <v>Kopfsalat</v>
      </c>
    </row>
    <row r="25" spans="1:1" x14ac:dyDescent="0.25">
      <c r="A25" t="str">
        <v>Kürbis</v>
      </c>
    </row>
    <row r="26" spans="1:1" x14ac:dyDescent="0.25">
      <c r="A26" t="str">
        <v>Lavendel</v>
      </c>
    </row>
    <row r="27" spans="1:1" x14ac:dyDescent="0.25">
      <c r="A27" t="str">
        <v>Lein</v>
      </c>
    </row>
    <row r="28" spans="1:1" x14ac:dyDescent="0.25">
      <c r="A28" t="str">
        <v>Möhre</v>
      </c>
    </row>
    <row r="29" spans="1:1" x14ac:dyDescent="0.25">
      <c r="A29" t="str">
        <v>Paprika</v>
      </c>
    </row>
    <row r="30" spans="1:1" x14ac:dyDescent="0.25">
      <c r="A30" t="str">
        <v>Petersilie</v>
      </c>
    </row>
    <row r="31" spans="1:1" x14ac:dyDescent="0.25">
      <c r="A31" t="str">
        <v>Pflücksalat</v>
      </c>
    </row>
    <row r="32" spans="1:1" x14ac:dyDescent="0.25">
      <c r="A32" t="str">
        <v>Physalis</v>
      </c>
    </row>
    <row r="33" spans="1:1" x14ac:dyDescent="0.25">
      <c r="A33" t="str">
        <v>Porree</v>
      </c>
    </row>
    <row r="34" spans="1:1" x14ac:dyDescent="0.25">
      <c r="A34" t="str">
        <v>Radieschen</v>
      </c>
    </row>
    <row r="35" spans="1:1" x14ac:dyDescent="0.25">
      <c r="A35" t="str">
        <v>Rauke</v>
      </c>
    </row>
    <row r="36" spans="1:1" x14ac:dyDescent="0.25">
      <c r="A36" t="str">
        <v>Rhabarber</v>
      </c>
    </row>
    <row r="37" spans="1:1" x14ac:dyDescent="0.25">
      <c r="A37" t="str">
        <v>Ringelblumen</v>
      </c>
    </row>
    <row r="38" spans="1:1" x14ac:dyDescent="0.25">
      <c r="A38" t="str">
        <v>Rote Bete</v>
      </c>
    </row>
    <row r="39" spans="1:1" x14ac:dyDescent="0.25">
      <c r="A39" t="str">
        <v>Rotkohl</v>
      </c>
    </row>
    <row r="40" spans="1:1" x14ac:dyDescent="0.25">
      <c r="A40" t="str">
        <v>Schnittlauch</v>
      </c>
    </row>
    <row r="41" spans="1:1" x14ac:dyDescent="0.25">
      <c r="A41" t="str">
        <v>Soja</v>
      </c>
    </row>
    <row r="42" spans="1:1" x14ac:dyDescent="0.25">
      <c r="A42" t="str">
        <v>Spinat</v>
      </c>
    </row>
    <row r="43" spans="1:1" x14ac:dyDescent="0.25">
      <c r="A43" t="str">
        <v>Stangensellerie</v>
      </c>
    </row>
    <row r="44" spans="1:1" x14ac:dyDescent="0.25">
      <c r="A44" t="str">
        <v>Stielmus</v>
      </c>
    </row>
    <row r="45" spans="1:1" x14ac:dyDescent="0.25">
      <c r="A45" t="str">
        <v>Tomate</v>
      </c>
    </row>
    <row r="46" spans="1:1" x14ac:dyDescent="0.25">
      <c r="A46" t="str">
        <v>Tomaten (Cherrytomaten)</v>
      </c>
    </row>
    <row r="47" spans="1:1" x14ac:dyDescent="0.25">
      <c r="A47" t="str">
        <v>Tomaten (Cocktailtomaten)</v>
      </c>
    </row>
    <row r="48" spans="1:1" x14ac:dyDescent="0.25">
      <c r="A48" t="str">
        <v>Tomaten (Fleischtomaten)</v>
      </c>
    </row>
    <row r="49" spans="1:1" x14ac:dyDescent="0.25">
      <c r="A49" t="str">
        <v>Tomaten (Salattomaten)</v>
      </c>
    </row>
    <row r="50" spans="1:1" x14ac:dyDescent="0.25">
      <c r="A50" t="str">
        <v>Wintersteckzwiebel</v>
      </c>
    </row>
    <row r="51" spans="1:1" x14ac:dyDescent="0.25">
      <c r="A51" t="str">
        <v>Zucchini</v>
      </c>
    </row>
    <row r="52" spans="1:1" x14ac:dyDescent="0.25">
      <c r="A52" t="str">
        <v>Zuckermais</v>
      </c>
    </row>
    <row r="53" spans="1:1" x14ac:dyDescent="0.25">
      <c r="A53" t="str">
        <v>Zwiebeln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D0BA8-B567-404C-BE62-CC689F496DA1}">
  <sheetPr codeName="Tabelle3">
    <pageSetUpPr fitToPage="1"/>
  </sheetPr>
  <dimension ref="A1:L72"/>
  <sheetViews>
    <sheetView zoomScale="98" zoomScaleNormal="115" workbookViewId="0">
      <pane ySplit="1" topLeftCell="A2" activePane="bottomLeft" state="frozen"/>
      <selection pane="bottomLeft" activeCell="A27" sqref="A27"/>
    </sheetView>
  </sheetViews>
  <sheetFormatPr baseColWidth="10" defaultColWidth="11" defaultRowHeight="15.75" x14ac:dyDescent="0.25"/>
  <cols>
    <col min="1" max="1" width="20.5" style="1" customWidth="1"/>
    <col min="2" max="2" width="25" style="1" customWidth="1"/>
    <col min="3" max="4" width="9" style="1" customWidth="1"/>
    <col min="5" max="5" width="11.5" style="1" customWidth="1"/>
    <col min="6" max="6" width="12.75" style="1" customWidth="1"/>
    <col min="7" max="7" width="3.5" style="1" customWidth="1"/>
    <col min="8" max="9" width="10.25" style="1" customWidth="1"/>
    <col min="10" max="10" width="3.625" style="1" customWidth="1"/>
    <col min="11" max="11" width="11" style="1"/>
    <col min="12" max="12" width="33.25" style="1" customWidth="1"/>
    <col min="13" max="16384" width="11" style="1"/>
  </cols>
  <sheetData>
    <row r="1" spans="1:12" ht="48" customHeight="1" x14ac:dyDescent="0.25">
      <c r="A1" s="1" t="s">
        <v>0</v>
      </c>
      <c r="B1" s="1" t="s">
        <v>19</v>
      </c>
      <c r="C1" s="1" t="s">
        <v>59</v>
      </c>
      <c r="D1" s="1" t="s">
        <v>376</v>
      </c>
      <c r="E1" s="1" t="s">
        <v>33</v>
      </c>
      <c r="F1" s="1" t="s">
        <v>32</v>
      </c>
      <c r="G1" s="1" t="s">
        <v>60</v>
      </c>
      <c r="H1" s="1" t="s">
        <v>46</v>
      </c>
      <c r="I1" s="1" t="s">
        <v>47</v>
      </c>
      <c r="J1" s="1" t="s">
        <v>69</v>
      </c>
      <c r="K1" s="1" t="s">
        <v>379</v>
      </c>
      <c r="L1" s="1" t="s">
        <v>392</v>
      </c>
    </row>
    <row r="2" spans="1:12" x14ac:dyDescent="0.25">
      <c r="A2" s="1" t="s">
        <v>1</v>
      </c>
      <c r="B2" s="1" t="s">
        <v>62</v>
      </c>
      <c r="C2" s="1" t="s">
        <v>60</v>
      </c>
      <c r="D2" s="1">
        <v>1</v>
      </c>
      <c r="E2" s="1">
        <v>2</v>
      </c>
      <c r="F2" s="1" t="s">
        <v>36</v>
      </c>
      <c r="H2" s="1">
        <v>5</v>
      </c>
      <c r="I2" s="1" t="s">
        <v>34</v>
      </c>
      <c r="K2" s="1">
        <v>10</v>
      </c>
    </row>
    <row r="3" spans="1:12" x14ac:dyDescent="0.25">
      <c r="A3" s="1" t="s">
        <v>300</v>
      </c>
      <c r="B3" s="1" t="s">
        <v>44</v>
      </c>
      <c r="C3" s="1" t="s">
        <v>60</v>
      </c>
      <c r="D3" s="1">
        <v>2</v>
      </c>
      <c r="E3" s="1">
        <v>2</v>
      </c>
      <c r="F3" s="1" t="s">
        <v>36</v>
      </c>
      <c r="H3" s="1">
        <v>3</v>
      </c>
      <c r="I3" s="1" t="s">
        <v>34</v>
      </c>
      <c r="K3" s="1">
        <v>4</v>
      </c>
    </row>
    <row r="4" spans="1:12" x14ac:dyDescent="0.25">
      <c r="A4" s="1" t="s">
        <v>29</v>
      </c>
      <c r="B4" s="1" t="s">
        <v>31</v>
      </c>
      <c r="C4" s="1" t="s">
        <v>60</v>
      </c>
      <c r="D4" s="1" t="s">
        <v>384</v>
      </c>
      <c r="E4" s="1">
        <v>2</v>
      </c>
      <c r="F4" s="1" t="s">
        <v>36</v>
      </c>
      <c r="K4" s="1">
        <v>6</v>
      </c>
    </row>
    <row r="5" spans="1:12" x14ac:dyDescent="0.25">
      <c r="A5" s="1" t="s">
        <v>395</v>
      </c>
      <c r="B5" s="1" t="s">
        <v>396</v>
      </c>
      <c r="C5" s="1" t="s">
        <v>60</v>
      </c>
      <c r="D5" s="1">
        <v>5</v>
      </c>
      <c r="E5" s="1">
        <v>2</v>
      </c>
      <c r="F5" s="1" t="s">
        <v>36</v>
      </c>
      <c r="H5" s="1">
        <v>5</v>
      </c>
      <c r="I5" s="1" t="s">
        <v>34</v>
      </c>
      <c r="K5" s="1">
        <v>11</v>
      </c>
    </row>
    <row r="6" spans="1:12" ht="31.5" x14ac:dyDescent="0.25">
      <c r="A6" s="1" t="s">
        <v>268</v>
      </c>
      <c r="B6" s="1" t="s">
        <v>224</v>
      </c>
      <c r="C6" s="1" t="s">
        <v>60</v>
      </c>
      <c r="D6" s="1">
        <v>4</v>
      </c>
      <c r="E6" s="1">
        <v>2</v>
      </c>
      <c r="F6" s="1" t="s">
        <v>36</v>
      </c>
      <c r="H6" s="1">
        <v>5</v>
      </c>
      <c r="I6" s="1" t="s">
        <v>34</v>
      </c>
      <c r="K6" s="1">
        <v>10</v>
      </c>
    </row>
    <row r="7" spans="1:12" x14ac:dyDescent="0.25">
      <c r="A7" s="1" t="s">
        <v>22</v>
      </c>
      <c r="B7" s="1" t="s">
        <v>236</v>
      </c>
      <c r="C7" s="1" t="s">
        <v>60</v>
      </c>
      <c r="D7" s="1">
        <v>1</v>
      </c>
      <c r="E7" s="1">
        <v>3</v>
      </c>
      <c r="F7" s="1" t="s">
        <v>34</v>
      </c>
      <c r="H7" s="1">
        <v>4</v>
      </c>
      <c r="I7" s="1" t="s">
        <v>35</v>
      </c>
      <c r="K7" s="1">
        <v>7</v>
      </c>
    </row>
    <row r="8" spans="1:12" x14ac:dyDescent="0.25">
      <c r="A8" s="1" t="s">
        <v>67</v>
      </c>
      <c r="C8" s="1" t="s">
        <v>60</v>
      </c>
      <c r="D8" s="1">
        <v>3</v>
      </c>
      <c r="E8" s="1">
        <v>3</v>
      </c>
      <c r="F8" s="1" t="s">
        <v>34</v>
      </c>
      <c r="H8" s="1">
        <v>5</v>
      </c>
      <c r="I8" s="1" t="s">
        <v>34</v>
      </c>
    </row>
    <row r="9" spans="1:12" x14ac:dyDescent="0.25">
      <c r="A9" s="1" t="s">
        <v>66</v>
      </c>
      <c r="C9" s="1" t="s">
        <v>60</v>
      </c>
      <c r="D9" s="1">
        <v>3</v>
      </c>
      <c r="E9" s="1">
        <v>3</v>
      </c>
      <c r="F9" s="1" t="s">
        <v>34</v>
      </c>
    </row>
    <row r="10" spans="1:12" x14ac:dyDescent="0.25">
      <c r="A10" s="1" t="s">
        <v>121</v>
      </c>
      <c r="B10" s="1" t="s">
        <v>122</v>
      </c>
      <c r="C10" s="1" t="s">
        <v>60</v>
      </c>
      <c r="D10" s="1">
        <v>3</v>
      </c>
      <c r="E10" s="1">
        <v>3</v>
      </c>
      <c r="F10" s="1" t="s">
        <v>34</v>
      </c>
      <c r="H10" s="1">
        <v>5</v>
      </c>
      <c r="I10" s="1" t="s">
        <v>34</v>
      </c>
      <c r="K10" s="1">
        <v>10</v>
      </c>
    </row>
    <row r="11" spans="1:12" x14ac:dyDescent="0.25">
      <c r="A11" s="1" t="s">
        <v>27</v>
      </c>
      <c r="B11" s="1" t="s">
        <v>131</v>
      </c>
      <c r="C11" s="1" t="s">
        <v>60</v>
      </c>
      <c r="D11" s="1">
        <v>2</v>
      </c>
      <c r="E11" s="1">
        <v>3</v>
      </c>
      <c r="F11" s="1" t="s">
        <v>34</v>
      </c>
      <c r="H11" s="1">
        <v>4</v>
      </c>
      <c r="I11" s="1" t="s">
        <v>34</v>
      </c>
      <c r="K11" s="1">
        <v>5</v>
      </c>
    </row>
    <row r="12" spans="1:12" x14ac:dyDescent="0.25">
      <c r="A12" s="1" t="s">
        <v>300</v>
      </c>
      <c r="B12" s="1" t="s">
        <v>301</v>
      </c>
      <c r="C12" s="1" t="s">
        <v>60</v>
      </c>
      <c r="D12" s="1">
        <v>2</v>
      </c>
      <c r="E12" s="1">
        <v>3</v>
      </c>
      <c r="F12" s="1" t="s">
        <v>34</v>
      </c>
      <c r="H12" s="1">
        <v>4</v>
      </c>
      <c r="I12" s="1" t="s">
        <v>34</v>
      </c>
      <c r="K12" s="1">
        <v>5</v>
      </c>
    </row>
    <row r="13" spans="1:12" x14ac:dyDescent="0.25">
      <c r="A13" s="1" t="s">
        <v>29</v>
      </c>
      <c r="B13" s="1" t="s">
        <v>352</v>
      </c>
      <c r="C13" s="1" t="s">
        <v>60</v>
      </c>
      <c r="D13" s="1" t="s">
        <v>384</v>
      </c>
      <c r="E13" s="1">
        <v>3</v>
      </c>
      <c r="F13" s="1" t="s">
        <v>34</v>
      </c>
      <c r="K13" s="1">
        <v>11</v>
      </c>
    </row>
    <row r="14" spans="1:12" x14ac:dyDescent="0.25">
      <c r="A14" s="1" t="s">
        <v>29</v>
      </c>
      <c r="B14" s="1" t="s">
        <v>30</v>
      </c>
      <c r="C14" s="1" t="s">
        <v>60</v>
      </c>
      <c r="D14" s="1" t="s">
        <v>384</v>
      </c>
      <c r="E14" s="1">
        <v>3</v>
      </c>
      <c r="F14" s="1" t="s">
        <v>34</v>
      </c>
      <c r="K14" s="1">
        <v>7</v>
      </c>
    </row>
    <row r="15" spans="1:12" x14ac:dyDescent="0.25">
      <c r="A15" s="1" t="s">
        <v>11</v>
      </c>
      <c r="B15" s="1" t="s">
        <v>324</v>
      </c>
      <c r="C15" s="1" t="s">
        <v>60</v>
      </c>
      <c r="D15" s="1" t="s">
        <v>384</v>
      </c>
      <c r="E15" s="1">
        <v>3</v>
      </c>
      <c r="F15" s="1" t="s">
        <v>34</v>
      </c>
      <c r="K15" s="1">
        <v>5</v>
      </c>
    </row>
    <row r="16" spans="1:12" x14ac:dyDescent="0.25">
      <c r="A16" s="1" t="s">
        <v>142</v>
      </c>
      <c r="B16" s="1" t="s">
        <v>143</v>
      </c>
      <c r="C16" s="1" t="s">
        <v>60</v>
      </c>
      <c r="D16" s="1">
        <v>3</v>
      </c>
      <c r="E16" s="1">
        <v>3</v>
      </c>
      <c r="F16" s="1" t="s">
        <v>34</v>
      </c>
      <c r="H16" s="1">
        <v>4</v>
      </c>
      <c r="I16" s="1" t="s">
        <v>34</v>
      </c>
    </row>
    <row r="17" spans="1:12" x14ac:dyDescent="0.25">
      <c r="A17" s="1" t="s">
        <v>15</v>
      </c>
      <c r="B17" s="1" t="s">
        <v>190</v>
      </c>
      <c r="C17" s="1" t="s">
        <v>60</v>
      </c>
      <c r="E17" s="1">
        <v>3</v>
      </c>
      <c r="F17" s="1" t="s">
        <v>34</v>
      </c>
      <c r="H17" s="1">
        <v>5</v>
      </c>
      <c r="I17" s="1" t="s">
        <v>34</v>
      </c>
      <c r="K17" s="1">
        <v>10</v>
      </c>
    </row>
    <row r="18" spans="1:12" x14ac:dyDescent="0.25">
      <c r="A18" s="1" t="s">
        <v>45</v>
      </c>
      <c r="B18" s="1" t="s">
        <v>93</v>
      </c>
      <c r="C18" s="1" t="s">
        <v>60</v>
      </c>
      <c r="D18" s="1">
        <v>2</v>
      </c>
      <c r="E18" s="1">
        <v>3</v>
      </c>
      <c r="F18" s="1" t="s">
        <v>34</v>
      </c>
      <c r="H18" s="1">
        <v>5</v>
      </c>
      <c r="I18" s="1" t="s">
        <v>34</v>
      </c>
      <c r="K18" s="1">
        <v>10</v>
      </c>
    </row>
    <row r="19" spans="1:12" x14ac:dyDescent="0.25">
      <c r="A19" s="1" t="s">
        <v>45</v>
      </c>
      <c r="B19" s="1" t="s">
        <v>128</v>
      </c>
      <c r="C19" s="1" t="s">
        <v>60</v>
      </c>
      <c r="D19" s="1">
        <v>2</v>
      </c>
      <c r="E19" s="1">
        <v>3</v>
      </c>
      <c r="F19" s="1" t="s">
        <v>34</v>
      </c>
      <c r="H19" s="1">
        <v>5</v>
      </c>
      <c r="I19" s="1" t="s">
        <v>34</v>
      </c>
      <c r="K19" s="1">
        <v>10</v>
      </c>
    </row>
    <row r="20" spans="1:12" ht="31.5" x14ac:dyDescent="0.25">
      <c r="A20" s="1" t="s">
        <v>273</v>
      </c>
      <c r="B20" s="1" t="s">
        <v>274</v>
      </c>
      <c r="C20" s="1" t="s">
        <v>60</v>
      </c>
      <c r="D20" s="1">
        <v>2</v>
      </c>
      <c r="E20" s="1">
        <v>3</v>
      </c>
      <c r="F20" s="1" t="s">
        <v>34</v>
      </c>
      <c r="H20" s="1">
        <v>5</v>
      </c>
      <c r="I20" s="1" t="s">
        <v>34</v>
      </c>
      <c r="K20" s="1">
        <v>10</v>
      </c>
    </row>
    <row r="21" spans="1:12" ht="31.5" x14ac:dyDescent="0.25">
      <c r="A21" s="1" t="s">
        <v>276</v>
      </c>
      <c r="B21" s="1" t="s">
        <v>277</v>
      </c>
      <c r="C21" s="1" t="s">
        <v>60</v>
      </c>
      <c r="D21" s="1">
        <v>2</v>
      </c>
      <c r="E21" s="1">
        <v>3</v>
      </c>
      <c r="F21" s="1" t="s">
        <v>34</v>
      </c>
      <c r="H21" s="1">
        <v>5</v>
      </c>
      <c r="I21" s="1" t="s">
        <v>34</v>
      </c>
      <c r="K21" s="1">
        <v>10</v>
      </c>
    </row>
    <row r="22" spans="1:12" x14ac:dyDescent="0.25">
      <c r="A22" s="1" t="s">
        <v>13</v>
      </c>
      <c r="B22" s="1" t="s">
        <v>196</v>
      </c>
      <c r="C22" s="1" t="s">
        <v>60</v>
      </c>
      <c r="D22" s="1">
        <v>10</v>
      </c>
      <c r="E22" s="1">
        <v>3</v>
      </c>
      <c r="H22" s="1">
        <v>5</v>
      </c>
      <c r="I22" s="1" t="s">
        <v>34</v>
      </c>
      <c r="K22" s="1">
        <v>10</v>
      </c>
    </row>
    <row r="23" spans="1:12" x14ac:dyDescent="0.25">
      <c r="A23" s="1" t="s">
        <v>25</v>
      </c>
      <c r="B23" s="1" t="s">
        <v>106</v>
      </c>
      <c r="C23" s="1" t="s">
        <v>60</v>
      </c>
      <c r="D23" s="1">
        <v>1</v>
      </c>
      <c r="E23" s="1">
        <v>4</v>
      </c>
      <c r="F23" s="1" t="s">
        <v>36</v>
      </c>
      <c r="H23" s="1">
        <v>5</v>
      </c>
      <c r="I23" s="1" t="s">
        <v>34</v>
      </c>
      <c r="K23" s="1">
        <v>12</v>
      </c>
    </row>
    <row r="24" spans="1:12" x14ac:dyDescent="0.25">
      <c r="A24" s="1" t="s">
        <v>25</v>
      </c>
      <c r="B24" s="1" t="s">
        <v>26</v>
      </c>
      <c r="C24" s="1" t="s">
        <v>60</v>
      </c>
      <c r="D24" s="1">
        <v>2</v>
      </c>
      <c r="E24" s="1">
        <v>4</v>
      </c>
      <c r="F24" s="1" t="s">
        <v>36</v>
      </c>
      <c r="H24" s="1">
        <v>5</v>
      </c>
      <c r="I24" s="1" t="s">
        <v>34</v>
      </c>
      <c r="K24" s="1">
        <v>12</v>
      </c>
    </row>
    <row r="25" spans="1:12" x14ac:dyDescent="0.25">
      <c r="A25" s="1" t="s">
        <v>9</v>
      </c>
      <c r="B25" s="1" t="s">
        <v>249</v>
      </c>
      <c r="C25" s="1" t="s">
        <v>60</v>
      </c>
      <c r="D25" s="1">
        <v>1</v>
      </c>
      <c r="E25" s="1">
        <v>4</v>
      </c>
      <c r="F25" s="1" t="s">
        <v>36</v>
      </c>
      <c r="H25" s="1">
        <v>5</v>
      </c>
      <c r="I25" s="1" t="s">
        <v>34</v>
      </c>
      <c r="K25" s="1">
        <v>9</v>
      </c>
    </row>
    <row r="26" spans="1:12" x14ac:dyDescent="0.25">
      <c r="A26" s="1" t="s">
        <v>294</v>
      </c>
      <c r="B26" s="1" t="s">
        <v>295</v>
      </c>
      <c r="C26" s="1" t="s">
        <v>60</v>
      </c>
      <c r="D26" s="1">
        <v>4</v>
      </c>
      <c r="E26" s="1">
        <v>4</v>
      </c>
      <c r="F26" s="1" t="s">
        <v>36</v>
      </c>
      <c r="H26" s="1">
        <v>5</v>
      </c>
      <c r="I26" s="1" t="s">
        <v>34</v>
      </c>
      <c r="K26" s="1">
        <v>9</v>
      </c>
    </row>
    <row r="27" spans="1:12" ht="31.5" x14ac:dyDescent="0.25">
      <c r="A27" s="1" t="s">
        <v>375</v>
      </c>
      <c r="B27" s="1" t="s">
        <v>385</v>
      </c>
      <c r="E27" s="1">
        <v>4</v>
      </c>
      <c r="F27" s="1" t="s">
        <v>35</v>
      </c>
      <c r="K27" s="1">
        <v>9</v>
      </c>
      <c r="L27" s="1" t="s">
        <v>393</v>
      </c>
    </row>
    <row r="28" spans="1:12" x14ac:dyDescent="0.25">
      <c r="A28" s="1" t="s">
        <v>22</v>
      </c>
      <c r="B28" s="1" t="s">
        <v>236</v>
      </c>
      <c r="C28" s="1" t="s">
        <v>60</v>
      </c>
      <c r="D28" s="1">
        <v>1</v>
      </c>
      <c r="E28" s="1">
        <v>4</v>
      </c>
      <c r="F28" s="1" t="s">
        <v>34</v>
      </c>
      <c r="H28" s="1">
        <v>5</v>
      </c>
      <c r="I28" s="1" t="s">
        <v>34</v>
      </c>
      <c r="K28" s="1">
        <v>8</v>
      </c>
    </row>
    <row r="29" spans="1:12" x14ac:dyDescent="0.25">
      <c r="A29" s="1" t="s">
        <v>16</v>
      </c>
      <c r="B29" s="1" t="s">
        <v>114</v>
      </c>
      <c r="C29" s="1" t="s">
        <v>60</v>
      </c>
      <c r="D29" s="1">
        <v>2</v>
      </c>
      <c r="E29" s="1">
        <v>4</v>
      </c>
      <c r="F29" s="1" t="s">
        <v>34</v>
      </c>
      <c r="H29" s="1">
        <v>5</v>
      </c>
      <c r="I29" s="1" t="s">
        <v>34</v>
      </c>
      <c r="K29" s="1">
        <v>6</v>
      </c>
    </row>
    <row r="30" spans="1:12" x14ac:dyDescent="0.25">
      <c r="A30" s="1" t="s">
        <v>16</v>
      </c>
      <c r="B30" s="1" t="s">
        <v>204</v>
      </c>
      <c r="C30" s="1" t="s">
        <v>60</v>
      </c>
      <c r="D30" s="1">
        <v>2</v>
      </c>
      <c r="E30" s="1">
        <v>4</v>
      </c>
      <c r="F30" s="1" t="s">
        <v>34</v>
      </c>
      <c r="H30" s="1">
        <v>5</v>
      </c>
      <c r="I30" s="1" t="s">
        <v>34</v>
      </c>
      <c r="K30" s="1">
        <v>6</v>
      </c>
    </row>
    <row r="31" spans="1:12" x14ac:dyDescent="0.25">
      <c r="A31" s="1" t="s">
        <v>242</v>
      </c>
      <c r="B31" s="1" t="s">
        <v>243</v>
      </c>
      <c r="C31" s="1" t="s">
        <v>60</v>
      </c>
      <c r="D31" s="1">
        <v>2</v>
      </c>
      <c r="E31" s="1">
        <v>4</v>
      </c>
      <c r="F31" s="1" t="s">
        <v>34</v>
      </c>
      <c r="H31" s="1">
        <v>5</v>
      </c>
      <c r="I31" s="1" t="s">
        <v>34</v>
      </c>
      <c r="K31" s="1">
        <v>9</v>
      </c>
    </row>
    <row r="32" spans="1:12" x14ac:dyDescent="0.25">
      <c r="A32" s="1" t="s">
        <v>242</v>
      </c>
      <c r="B32" s="1" t="s">
        <v>259</v>
      </c>
      <c r="C32" s="1" t="s">
        <v>60</v>
      </c>
      <c r="D32" s="1">
        <v>2</v>
      </c>
      <c r="E32" s="1">
        <v>4</v>
      </c>
      <c r="F32" s="1" t="s">
        <v>34</v>
      </c>
      <c r="H32" s="1">
        <v>5</v>
      </c>
      <c r="I32" s="1" t="s">
        <v>34</v>
      </c>
      <c r="K32" s="1">
        <v>9</v>
      </c>
    </row>
    <row r="33" spans="1:11" x14ac:dyDescent="0.25">
      <c r="A33" s="1" t="s">
        <v>58</v>
      </c>
      <c r="B33" s="1" t="s">
        <v>177</v>
      </c>
      <c r="C33" s="1" t="s">
        <v>60</v>
      </c>
      <c r="D33" s="1">
        <v>3</v>
      </c>
      <c r="E33" s="1">
        <v>4</v>
      </c>
      <c r="F33" s="1" t="s">
        <v>34</v>
      </c>
      <c r="H33" s="1">
        <v>5</v>
      </c>
      <c r="I33" s="1" t="s">
        <v>34</v>
      </c>
    </row>
    <row r="34" spans="1:11" x14ac:dyDescent="0.25">
      <c r="A34" s="1" t="s">
        <v>27</v>
      </c>
      <c r="B34" s="1" t="s">
        <v>131</v>
      </c>
      <c r="C34" s="1" t="s">
        <v>60</v>
      </c>
      <c r="D34" s="1">
        <v>2</v>
      </c>
      <c r="E34" s="1">
        <v>4</v>
      </c>
      <c r="F34" s="1" t="s">
        <v>34</v>
      </c>
      <c r="H34" s="1">
        <v>5</v>
      </c>
      <c r="I34" s="1" t="s">
        <v>34</v>
      </c>
      <c r="K34" s="1">
        <v>6</v>
      </c>
    </row>
    <row r="35" spans="1:11" x14ac:dyDescent="0.25">
      <c r="A35" s="1" t="s">
        <v>300</v>
      </c>
      <c r="B35" s="1" t="s">
        <v>308</v>
      </c>
      <c r="C35" s="1" t="s">
        <v>60</v>
      </c>
      <c r="D35" s="1">
        <v>2</v>
      </c>
      <c r="E35" s="1">
        <v>4</v>
      </c>
      <c r="F35" s="1" t="s">
        <v>34</v>
      </c>
      <c r="H35" s="1">
        <v>5</v>
      </c>
      <c r="I35" s="1" t="s">
        <v>34</v>
      </c>
      <c r="K35" s="1">
        <v>6</v>
      </c>
    </row>
    <row r="36" spans="1:11" x14ac:dyDescent="0.25">
      <c r="A36" s="1" t="s">
        <v>29</v>
      </c>
      <c r="B36" s="1" t="s">
        <v>343</v>
      </c>
      <c r="C36" s="1" t="s">
        <v>60</v>
      </c>
      <c r="D36" s="1" t="s">
        <v>384</v>
      </c>
      <c r="E36" s="1">
        <v>4</v>
      </c>
      <c r="F36" s="1" t="s">
        <v>34</v>
      </c>
      <c r="K36" s="1">
        <v>10</v>
      </c>
    </row>
    <row r="37" spans="1:11" x14ac:dyDescent="0.25">
      <c r="A37" s="1" t="s">
        <v>11</v>
      </c>
      <c r="B37" s="1" t="s">
        <v>324</v>
      </c>
      <c r="C37" s="1" t="s">
        <v>60</v>
      </c>
      <c r="D37" s="1" t="s">
        <v>384</v>
      </c>
      <c r="E37" s="1">
        <v>4</v>
      </c>
      <c r="F37" s="1" t="s">
        <v>34</v>
      </c>
      <c r="K37" s="1">
        <v>6</v>
      </c>
    </row>
    <row r="38" spans="1:11" x14ac:dyDescent="0.25">
      <c r="A38" s="1" t="s">
        <v>278</v>
      </c>
      <c r="B38" s="1" t="s">
        <v>43</v>
      </c>
      <c r="C38" s="1" t="s">
        <v>60</v>
      </c>
      <c r="D38" s="1">
        <v>3</v>
      </c>
      <c r="E38" s="1">
        <v>4</v>
      </c>
      <c r="F38" s="1" t="s">
        <v>34</v>
      </c>
      <c r="K38" s="1">
        <v>9</v>
      </c>
    </row>
    <row r="39" spans="1:11" x14ac:dyDescent="0.25">
      <c r="A39" s="1" t="s">
        <v>278</v>
      </c>
      <c r="B39" s="1" t="s">
        <v>281</v>
      </c>
      <c r="C39" s="1" t="s">
        <v>60</v>
      </c>
      <c r="D39" s="1">
        <v>3</v>
      </c>
      <c r="E39" s="1">
        <v>4</v>
      </c>
      <c r="F39" s="1" t="s">
        <v>34</v>
      </c>
      <c r="K39" s="1">
        <v>9</v>
      </c>
    </row>
    <row r="40" spans="1:11" x14ac:dyDescent="0.25">
      <c r="A40" s="1" t="s">
        <v>48</v>
      </c>
      <c r="B40" s="1" t="s">
        <v>49</v>
      </c>
      <c r="C40" s="1" t="s">
        <v>60</v>
      </c>
      <c r="D40" s="1">
        <v>1</v>
      </c>
      <c r="E40" s="1">
        <v>4</v>
      </c>
      <c r="F40" s="1" t="s">
        <v>34</v>
      </c>
      <c r="H40" s="1">
        <v>5</v>
      </c>
      <c r="I40" s="1" t="s">
        <v>34</v>
      </c>
      <c r="K40" s="1">
        <v>9</v>
      </c>
    </row>
    <row r="41" spans="1:11" x14ac:dyDescent="0.25">
      <c r="A41" s="1" t="s">
        <v>48</v>
      </c>
      <c r="B41" s="1" t="s">
        <v>263</v>
      </c>
      <c r="C41" s="1" t="s">
        <v>60</v>
      </c>
      <c r="D41" s="1">
        <v>1</v>
      </c>
      <c r="E41" s="1">
        <v>4</v>
      </c>
      <c r="F41" s="1" t="s">
        <v>34</v>
      </c>
      <c r="H41" s="1">
        <v>5</v>
      </c>
      <c r="I41" s="1" t="s">
        <v>34</v>
      </c>
      <c r="K41" s="1">
        <v>9</v>
      </c>
    </row>
    <row r="42" spans="1:11" x14ac:dyDescent="0.25">
      <c r="A42" s="1" t="s">
        <v>345</v>
      </c>
      <c r="B42" s="1" t="s">
        <v>346</v>
      </c>
      <c r="C42" s="1" t="s">
        <v>60</v>
      </c>
      <c r="D42" s="1">
        <v>5</v>
      </c>
      <c r="E42" s="1">
        <v>4</v>
      </c>
      <c r="F42" s="1" t="s">
        <v>34</v>
      </c>
      <c r="H42" s="1">
        <v>5</v>
      </c>
      <c r="I42" s="1" t="s">
        <v>34</v>
      </c>
      <c r="K42" s="1">
        <v>10</v>
      </c>
    </row>
    <row r="43" spans="1:11" x14ac:dyDescent="0.25">
      <c r="A43" s="1" t="s">
        <v>9</v>
      </c>
      <c r="B43" s="1" t="s">
        <v>249</v>
      </c>
      <c r="C43" s="1" t="s">
        <v>60</v>
      </c>
      <c r="D43" s="1">
        <v>1</v>
      </c>
      <c r="E43" s="1">
        <v>5</v>
      </c>
      <c r="F43" s="1" t="s">
        <v>36</v>
      </c>
      <c r="H43" s="1">
        <v>6</v>
      </c>
      <c r="I43" s="1" t="s">
        <v>34</v>
      </c>
      <c r="K43" s="1">
        <v>9</v>
      </c>
    </row>
    <row r="44" spans="1:11" x14ac:dyDescent="0.25">
      <c r="A44" s="1" t="s">
        <v>22</v>
      </c>
      <c r="B44" s="1" t="s">
        <v>236</v>
      </c>
      <c r="C44" s="1" t="s">
        <v>60</v>
      </c>
      <c r="D44" s="1">
        <v>1</v>
      </c>
      <c r="E44" s="1">
        <v>5</v>
      </c>
      <c r="F44" s="1" t="s">
        <v>34</v>
      </c>
      <c r="H44" s="1">
        <v>6</v>
      </c>
      <c r="I44" s="1" t="s">
        <v>34</v>
      </c>
      <c r="K44" s="1">
        <v>9</v>
      </c>
    </row>
    <row r="45" spans="1:11" x14ac:dyDescent="0.25">
      <c r="A45" s="1" t="s">
        <v>16</v>
      </c>
      <c r="B45" s="1" t="s">
        <v>114</v>
      </c>
      <c r="C45" s="1" t="s">
        <v>60</v>
      </c>
      <c r="D45" s="1">
        <v>2</v>
      </c>
      <c r="E45" s="1">
        <v>5</v>
      </c>
      <c r="F45" s="1" t="s">
        <v>34</v>
      </c>
      <c r="H45" s="1">
        <v>6</v>
      </c>
      <c r="I45" s="1" t="s">
        <v>34</v>
      </c>
      <c r="K45" s="1">
        <v>7</v>
      </c>
    </row>
    <row r="46" spans="1:11" x14ac:dyDescent="0.25">
      <c r="A46" s="1" t="s">
        <v>242</v>
      </c>
      <c r="B46" s="1" t="s">
        <v>243</v>
      </c>
      <c r="C46" s="1" t="s">
        <v>60</v>
      </c>
      <c r="D46" s="1">
        <v>2</v>
      </c>
      <c r="E46" s="1">
        <v>5</v>
      </c>
      <c r="F46" s="1" t="s">
        <v>34</v>
      </c>
      <c r="H46" s="1">
        <v>6</v>
      </c>
      <c r="I46" s="1" t="s">
        <v>34</v>
      </c>
      <c r="K46" s="1">
        <v>9</v>
      </c>
    </row>
    <row r="47" spans="1:11" x14ac:dyDescent="0.25">
      <c r="A47" s="1" t="s">
        <v>242</v>
      </c>
      <c r="B47" s="1" t="s">
        <v>259</v>
      </c>
      <c r="C47" s="1" t="s">
        <v>60</v>
      </c>
      <c r="D47" s="1">
        <v>2</v>
      </c>
      <c r="E47" s="1">
        <v>5</v>
      </c>
      <c r="F47" s="1" t="s">
        <v>34</v>
      </c>
      <c r="H47" s="1">
        <v>6</v>
      </c>
      <c r="I47" s="1" t="s">
        <v>34</v>
      </c>
      <c r="K47" s="1">
        <v>9</v>
      </c>
    </row>
    <row r="48" spans="1:11" x14ac:dyDescent="0.25">
      <c r="A48" s="1" t="s">
        <v>66</v>
      </c>
      <c r="C48" s="1" t="s">
        <v>60</v>
      </c>
      <c r="D48" s="1">
        <v>3</v>
      </c>
      <c r="E48" s="1">
        <v>5</v>
      </c>
      <c r="F48" s="1" t="s">
        <v>34</v>
      </c>
    </row>
    <row r="49" spans="1:11" x14ac:dyDescent="0.25">
      <c r="A49" s="1" t="s">
        <v>27</v>
      </c>
      <c r="B49" s="1" t="s">
        <v>28</v>
      </c>
      <c r="C49" s="1" t="s">
        <v>60</v>
      </c>
      <c r="D49" s="1">
        <v>2</v>
      </c>
      <c r="E49" s="1">
        <v>5</v>
      </c>
      <c r="F49" s="1" t="s">
        <v>34</v>
      </c>
      <c r="H49" s="1">
        <v>6</v>
      </c>
      <c r="I49" s="1" t="s">
        <v>34</v>
      </c>
      <c r="K49" s="1">
        <v>7</v>
      </c>
    </row>
    <row r="50" spans="1:11" x14ac:dyDescent="0.25">
      <c r="A50" s="1" t="s">
        <v>300</v>
      </c>
      <c r="B50" s="1" t="s">
        <v>308</v>
      </c>
      <c r="C50" s="1" t="s">
        <v>60</v>
      </c>
      <c r="D50" s="1">
        <v>2</v>
      </c>
      <c r="E50" s="1">
        <v>5</v>
      </c>
      <c r="F50" s="1" t="s">
        <v>34</v>
      </c>
      <c r="H50" s="1">
        <v>6</v>
      </c>
      <c r="I50" s="1" t="s">
        <v>34</v>
      </c>
      <c r="K50" s="1">
        <v>7</v>
      </c>
    </row>
    <row r="51" spans="1:11" x14ac:dyDescent="0.25">
      <c r="A51" s="1" t="s">
        <v>29</v>
      </c>
      <c r="B51" s="1" t="s">
        <v>343</v>
      </c>
      <c r="C51" s="1" t="s">
        <v>60</v>
      </c>
      <c r="D51" s="1" t="s">
        <v>384</v>
      </c>
      <c r="E51" s="1">
        <v>5</v>
      </c>
      <c r="F51" s="1" t="s">
        <v>34</v>
      </c>
      <c r="K51" s="1">
        <v>11</v>
      </c>
    </row>
    <row r="52" spans="1:11" x14ac:dyDescent="0.25">
      <c r="A52" s="1" t="s">
        <v>14</v>
      </c>
      <c r="B52" s="1" t="s">
        <v>37</v>
      </c>
      <c r="C52" s="1" t="s">
        <v>60</v>
      </c>
      <c r="E52" s="1">
        <v>5</v>
      </c>
      <c r="F52" s="1" t="s">
        <v>34</v>
      </c>
      <c r="K52" s="1">
        <v>10</v>
      </c>
    </row>
    <row r="53" spans="1:11" x14ac:dyDescent="0.25">
      <c r="A53" s="1" t="s">
        <v>14</v>
      </c>
      <c r="B53" s="1" t="s">
        <v>184</v>
      </c>
      <c r="C53" s="1" t="s">
        <v>60</v>
      </c>
      <c r="E53" s="1">
        <v>5</v>
      </c>
      <c r="F53" s="1" t="s">
        <v>34</v>
      </c>
      <c r="K53" s="1">
        <v>10</v>
      </c>
    </row>
    <row r="54" spans="1:11" x14ac:dyDescent="0.25">
      <c r="A54" s="1" t="s">
        <v>11</v>
      </c>
      <c r="B54" s="1" t="s">
        <v>324</v>
      </c>
      <c r="C54" s="1" t="s">
        <v>60</v>
      </c>
      <c r="D54" s="1" t="s">
        <v>384</v>
      </c>
      <c r="E54" s="1">
        <v>5</v>
      </c>
      <c r="F54" s="1" t="s">
        <v>34</v>
      </c>
      <c r="K54" s="1">
        <v>7</v>
      </c>
    </row>
    <row r="55" spans="1:11" x14ac:dyDescent="0.25">
      <c r="A55" s="1" t="s">
        <v>278</v>
      </c>
      <c r="B55" s="1" t="s">
        <v>43</v>
      </c>
      <c r="C55" s="1" t="s">
        <v>60</v>
      </c>
      <c r="D55" s="1">
        <v>3</v>
      </c>
      <c r="E55" s="1">
        <v>5</v>
      </c>
      <c r="F55" s="1" t="s">
        <v>34</v>
      </c>
      <c r="K55" s="1">
        <v>10</v>
      </c>
    </row>
    <row r="56" spans="1:11" x14ac:dyDescent="0.25">
      <c r="A56" s="1" t="s">
        <v>278</v>
      </c>
      <c r="B56" s="1" t="s">
        <v>281</v>
      </c>
      <c r="C56" s="1" t="s">
        <v>60</v>
      </c>
      <c r="D56" s="1">
        <v>3</v>
      </c>
      <c r="E56" s="1">
        <v>5</v>
      </c>
      <c r="F56" s="1" t="s">
        <v>34</v>
      </c>
      <c r="K56" s="1">
        <v>10</v>
      </c>
    </row>
    <row r="57" spans="1:11" x14ac:dyDescent="0.25">
      <c r="A57" s="1" t="s">
        <v>22</v>
      </c>
      <c r="B57" s="1" t="s">
        <v>236</v>
      </c>
      <c r="C57" s="1" t="s">
        <v>60</v>
      </c>
      <c r="D57" s="1">
        <v>1</v>
      </c>
      <c r="E57" s="1">
        <v>6</v>
      </c>
      <c r="F57" s="1" t="s">
        <v>34</v>
      </c>
      <c r="H57" s="1">
        <v>7</v>
      </c>
      <c r="I57" s="1" t="s">
        <v>34</v>
      </c>
      <c r="K57" s="1">
        <v>10</v>
      </c>
    </row>
    <row r="58" spans="1:11" x14ac:dyDescent="0.25">
      <c r="A58" s="1" t="s">
        <v>16</v>
      </c>
      <c r="B58" s="1" t="s">
        <v>204</v>
      </c>
      <c r="C58" s="1" t="s">
        <v>60</v>
      </c>
      <c r="D58" s="1">
        <v>2</v>
      </c>
      <c r="E58" s="1">
        <v>6</v>
      </c>
      <c r="F58" s="1" t="s">
        <v>34</v>
      </c>
      <c r="H58" s="1">
        <v>7</v>
      </c>
      <c r="I58" s="1" t="s">
        <v>34</v>
      </c>
      <c r="K58" s="1">
        <v>8</v>
      </c>
    </row>
    <row r="59" spans="1:11" x14ac:dyDescent="0.25">
      <c r="A59" s="1" t="s">
        <v>27</v>
      </c>
      <c r="B59" s="1" t="s">
        <v>28</v>
      </c>
      <c r="C59" s="1" t="s">
        <v>60</v>
      </c>
      <c r="D59" s="1">
        <v>2</v>
      </c>
      <c r="E59" s="1">
        <v>6</v>
      </c>
      <c r="F59" s="1" t="s">
        <v>34</v>
      </c>
      <c r="H59" s="1">
        <v>7</v>
      </c>
      <c r="I59" s="1" t="s">
        <v>34</v>
      </c>
      <c r="K59" s="1">
        <v>8</v>
      </c>
    </row>
    <row r="60" spans="1:11" x14ac:dyDescent="0.25">
      <c r="A60" s="1" t="s">
        <v>300</v>
      </c>
      <c r="B60" s="1" t="s">
        <v>308</v>
      </c>
      <c r="C60" s="1" t="s">
        <v>60</v>
      </c>
      <c r="D60" s="1">
        <v>2</v>
      </c>
      <c r="E60" s="1">
        <v>6</v>
      </c>
      <c r="F60" s="1" t="s">
        <v>34</v>
      </c>
      <c r="H60" s="1">
        <v>7</v>
      </c>
      <c r="I60" s="1" t="s">
        <v>34</v>
      </c>
      <c r="K60" s="1">
        <v>8</v>
      </c>
    </row>
    <row r="61" spans="1:11" x14ac:dyDescent="0.25">
      <c r="A61" s="1" t="s">
        <v>29</v>
      </c>
      <c r="B61" s="1" t="s">
        <v>31</v>
      </c>
      <c r="C61" s="1" t="s">
        <v>60</v>
      </c>
      <c r="D61" s="1" t="s">
        <v>384</v>
      </c>
      <c r="E61" s="1">
        <v>6</v>
      </c>
      <c r="F61" s="1" t="s">
        <v>34</v>
      </c>
      <c r="K61" s="1">
        <v>9</v>
      </c>
    </row>
    <row r="62" spans="1:11" x14ac:dyDescent="0.25">
      <c r="A62" s="1" t="s">
        <v>16</v>
      </c>
      <c r="B62" s="1" t="s">
        <v>114</v>
      </c>
      <c r="C62" s="1" t="s">
        <v>60</v>
      </c>
      <c r="D62" s="1">
        <v>2</v>
      </c>
      <c r="E62" s="1">
        <v>7</v>
      </c>
      <c r="F62" s="1" t="s">
        <v>34</v>
      </c>
      <c r="H62" s="1">
        <v>8</v>
      </c>
      <c r="I62" s="1" t="s">
        <v>34</v>
      </c>
      <c r="K62" s="1">
        <v>9</v>
      </c>
    </row>
    <row r="63" spans="1:11" x14ac:dyDescent="0.25">
      <c r="A63" s="1" t="s">
        <v>300</v>
      </c>
      <c r="B63" s="1" t="s">
        <v>301</v>
      </c>
      <c r="C63" s="1" t="s">
        <v>60</v>
      </c>
      <c r="D63" s="1">
        <v>2</v>
      </c>
      <c r="E63" s="1">
        <v>7</v>
      </c>
      <c r="F63" s="1" t="s">
        <v>34</v>
      </c>
      <c r="H63" s="1">
        <v>8</v>
      </c>
      <c r="I63" s="1" t="s">
        <v>34</v>
      </c>
      <c r="K63" s="1">
        <v>9</v>
      </c>
    </row>
    <row r="64" spans="1:11" x14ac:dyDescent="0.25">
      <c r="A64" s="1" t="s">
        <v>29</v>
      </c>
      <c r="B64" s="1" t="s">
        <v>30</v>
      </c>
      <c r="C64" s="1" t="s">
        <v>60</v>
      </c>
      <c r="D64" s="1" t="s">
        <v>384</v>
      </c>
      <c r="E64" s="1">
        <v>7</v>
      </c>
      <c r="F64" s="1" t="s">
        <v>34</v>
      </c>
      <c r="K64" s="1">
        <v>10</v>
      </c>
    </row>
    <row r="65" spans="1:11" x14ac:dyDescent="0.25">
      <c r="A65" s="1" t="s">
        <v>232</v>
      </c>
      <c r="B65" s="1" t="s">
        <v>233</v>
      </c>
      <c r="C65" s="1" t="s">
        <v>60</v>
      </c>
      <c r="E65" s="1">
        <v>7</v>
      </c>
      <c r="K65" s="1">
        <v>9</v>
      </c>
    </row>
    <row r="66" spans="1:11" x14ac:dyDescent="0.25">
      <c r="A66" s="1" t="s">
        <v>16</v>
      </c>
      <c r="B66" s="1" t="s">
        <v>204</v>
      </c>
      <c r="C66" s="1" t="s">
        <v>60</v>
      </c>
      <c r="D66" s="1">
        <v>2</v>
      </c>
      <c r="E66" s="1">
        <v>8</v>
      </c>
      <c r="F66" s="1" t="s">
        <v>34</v>
      </c>
      <c r="H66" s="1">
        <v>9</v>
      </c>
      <c r="I66" s="1" t="s">
        <v>34</v>
      </c>
      <c r="K66" s="1">
        <v>10</v>
      </c>
    </row>
    <row r="67" spans="1:11" x14ac:dyDescent="0.25">
      <c r="A67" s="1" t="s">
        <v>300</v>
      </c>
      <c r="B67" s="1" t="s">
        <v>44</v>
      </c>
      <c r="C67" s="1" t="s">
        <v>60</v>
      </c>
      <c r="D67" s="1">
        <v>2</v>
      </c>
      <c r="E67" s="1">
        <v>8</v>
      </c>
      <c r="F67" s="1" t="s">
        <v>34</v>
      </c>
      <c r="H67" s="1">
        <v>9</v>
      </c>
      <c r="I67" s="1" t="s">
        <v>34</v>
      </c>
      <c r="K67" s="1">
        <v>10</v>
      </c>
    </row>
    <row r="68" spans="1:11" x14ac:dyDescent="0.25">
      <c r="A68" s="1" t="s">
        <v>300</v>
      </c>
      <c r="B68" s="1" t="s">
        <v>44</v>
      </c>
      <c r="C68" s="1" t="s">
        <v>60</v>
      </c>
      <c r="D68" s="1">
        <v>2</v>
      </c>
      <c r="E68" s="1">
        <v>9</v>
      </c>
      <c r="F68" s="1" t="s">
        <v>34</v>
      </c>
      <c r="H68" s="1">
        <v>10</v>
      </c>
      <c r="I68" s="1" t="s">
        <v>34</v>
      </c>
      <c r="K68" s="1">
        <v>11</v>
      </c>
    </row>
    <row r="69" spans="1:11" x14ac:dyDescent="0.25">
      <c r="A69" s="1" t="s">
        <v>40</v>
      </c>
      <c r="B69" s="1" t="s">
        <v>383</v>
      </c>
      <c r="D69" s="1">
        <v>10</v>
      </c>
      <c r="E69" s="1">
        <v>10</v>
      </c>
      <c r="F69" s="1" t="s">
        <v>36</v>
      </c>
      <c r="K69" s="1">
        <v>9</v>
      </c>
    </row>
    <row r="70" spans="1:11" x14ac:dyDescent="0.25">
      <c r="A70" s="1" t="s">
        <v>42</v>
      </c>
      <c r="B70" s="1" t="s">
        <v>383</v>
      </c>
      <c r="D70" s="1">
        <v>20</v>
      </c>
      <c r="E70" s="1">
        <v>10</v>
      </c>
      <c r="F70" s="1" t="s">
        <v>36</v>
      </c>
      <c r="K70" s="1">
        <v>8</v>
      </c>
    </row>
    <row r="71" spans="1:11" x14ac:dyDescent="0.25">
      <c r="A71" s="1" t="s">
        <v>378</v>
      </c>
      <c r="H71" s="1">
        <v>3</v>
      </c>
      <c r="I71" s="1" t="s">
        <v>34</v>
      </c>
    </row>
    <row r="72" spans="1:11" x14ac:dyDescent="0.25">
      <c r="A72" s="1" t="s">
        <v>394</v>
      </c>
      <c r="H72" s="1">
        <v>3</v>
      </c>
      <c r="I72" s="1" t="s">
        <v>34</v>
      </c>
    </row>
  </sheetData>
  <phoneticPr fontId="2" type="noConversion"/>
  <dataValidations count="1">
    <dataValidation type="list" allowBlank="1" showInputMessage="1" showErrorMessage="1" sqref="F34:F37 F16:F30 F55 I43:J44 I38:J38 I2:J15 I31:J31 F39:F42 I50:J70" xr:uid="{1E516850-B7D4-4298-BE37-0CD036499F43}">
      <formula1>"Anfang, Mitte, Ende"</formula1>
    </dataValidation>
  </dataValidations>
  <pageMargins left="0.25" right="0.25" top="0.75" bottom="0.75" header="0.3" footer="0.3"/>
  <pageSetup paperSize="9" scale="68" fitToHeight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B8B16-8886-430F-B721-1DE4CC09BDC5}">
  <sheetPr codeName="Tabelle4">
    <pageSetUpPr fitToPage="1"/>
  </sheetPr>
  <dimension ref="A1:T72"/>
  <sheetViews>
    <sheetView tabSelected="1" zoomScale="98" zoomScaleNormal="115" workbookViewId="0">
      <pane ySplit="1" topLeftCell="A6" activePane="bottomLeft" state="frozen"/>
      <selection pane="bottomLeft" activeCell="E18" sqref="E18"/>
    </sheetView>
  </sheetViews>
  <sheetFormatPr baseColWidth="10" defaultColWidth="11" defaultRowHeight="31.5" customHeight="1" x14ac:dyDescent="0.25"/>
  <cols>
    <col min="1" max="1" width="20.5" style="1" customWidth="1"/>
    <col min="2" max="2" width="25" style="1" customWidth="1"/>
    <col min="3" max="3" width="3.5" style="1" bestFit="1" customWidth="1"/>
    <col min="4" max="4" width="4.625" style="1" customWidth="1"/>
    <col min="5" max="5" width="11.375" style="1" customWidth="1"/>
    <col min="6" max="7" width="13.5" style="1" customWidth="1"/>
    <col min="8" max="8" width="29.25" style="1" customWidth="1"/>
    <col min="9" max="9" width="13.5" style="1" customWidth="1"/>
    <col min="10" max="11" width="11.5" style="1" customWidth="1"/>
    <col min="12" max="12" width="3.5" style="1" customWidth="1"/>
    <col min="13" max="13" width="11.875" style="1" customWidth="1"/>
    <col min="14" max="14" width="10.25" style="1" customWidth="1"/>
    <col min="15" max="15" width="3.625" style="1" customWidth="1"/>
    <col min="16" max="16" width="11" style="1"/>
    <col min="17" max="17" width="33.25" style="1" customWidth="1"/>
    <col min="18" max="19" width="11" style="1"/>
    <col min="20" max="20" width="118.25" style="1" customWidth="1"/>
    <col min="21" max="16384" width="11" style="1"/>
  </cols>
  <sheetData>
    <row r="1" spans="1:20" ht="31.5" customHeight="1" x14ac:dyDescent="0.25">
      <c r="A1" s="1" t="s">
        <v>0</v>
      </c>
      <c r="B1" s="1" t="s">
        <v>19</v>
      </c>
      <c r="C1" s="4" t="s">
        <v>59</v>
      </c>
      <c r="D1" s="4" t="s">
        <v>376</v>
      </c>
      <c r="E1" s="1" t="s">
        <v>85</v>
      </c>
      <c r="F1" s="1" t="s">
        <v>401</v>
      </c>
      <c r="G1" s="1" t="s">
        <v>409</v>
      </c>
      <c r="H1" s="1" t="s">
        <v>403</v>
      </c>
      <c r="I1" s="1" t="s">
        <v>20</v>
      </c>
      <c r="J1" s="1" t="s">
        <v>33</v>
      </c>
      <c r="K1" s="1" t="s">
        <v>414</v>
      </c>
      <c r="L1" s="1" t="s">
        <v>60</v>
      </c>
      <c r="M1" s="1" t="s">
        <v>407</v>
      </c>
      <c r="N1" s="1" t="s">
        <v>408</v>
      </c>
      <c r="O1" s="1" t="s">
        <v>69</v>
      </c>
      <c r="P1" s="1" t="s">
        <v>379</v>
      </c>
      <c r="Q1" s="1" t="s">
        <v>392</v>
      </c>
      <c r="R1" s="1" t="s">
        <v>402</v>
      </c>
    </row>
    <row r="2" spans="1:20" ht="31.5" hidden="1" customHeight="1" x14ac:dyDescent="0.25">
      <c r="A2" s="1" t="s">
        <v>404</v>
      </c>
      <c r="B2" s="1" t="s">
        <v>62</v>
      </c>
      <c r="E2" s="1" t="str">
        <f>VLOOKUP(Tabelle13[[#This Row],[Sorte]],Anzuchtdatenbank!B:M,12,FALSE)</f>
        <v>50x50 cm</v>
      </c>
      <c r="F2" s="1" t="str">
        <f>VLOOKUP(Tabelle13[[#This Row],[Sorte]],Datenbank[[Sorte]:[Anzucht-Zeit]],2,FALSE)</f>
        <v>Februar</v>
      </c>
      <c r="G2" s="1" t="str">
        <f>VLOOKUP(Tabelle13[[#This Row],[Sorte]],Anzuchtdatenbank!B:I,3,FALSE)</f>
        <v>drinnen</v>
      </c>
      <c r="H2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bis Keimung Ziploc und Küchenpapier bei 25-28°C (Keimung)</v>
      </c>
      <c r="I2" s="1" t="str">
        <f>VLOOKUP(Tabelle13[[#This Row],[Sorte]],Anzuchtdatenbank!B:I,8,FALSE)</f>
        <v>1 cm</v>
      </c>
      <c r="J2" s="1" t="s">
        <v>410</v>
      </c>
      <c r="K2" s="1" t="s">
        <v>179</v>
      </c>
      <c r="L2" s="1" t="s">
        <v>60</v>
      </c>
      <c r="M2" s="1" t="str">
        <f>VLOOKUP(Tabelle13[[#This Row],[Sorte]],Anzuchtdatenbank!B:M,11,FALSE)</f>
        <v>sobald frostfrei</v>
      </c>
      <c r="N2" s="1" t="s">
        <v>220</v>
      </c>
      <c r="T2" s="5"/>
    </row>
    <row r="3" spans="1:20" ht="31.5" hidden="1" customHeight="1" x14ac:dyDescent="0.25">
      <c r="A3" s="1" t="s">
        <v>404</v>
      </c>
      <c r="B3" s="1" t="s">
        <v>406</v>
      </c>
      <c r="E3" s="1" t="str">
        <f>VLOOKUP(Tabelle13[[#This Row],[Sorte]],Anzuchtdatenbank!B:M,12,FALSE)</f>
        <v>50x50 cm</v>
      </c>
      <c r="F3" s="1" t="str">
        <f>VLOOKUP(Tabelle13[[#This Row],[Sorte]],Datenbank[[Sorte]:[Anzucht-Zeit]],2,FALSE)</f>
        <v>Februar</v>
      </c>
      <c r="G3" s="1" t="str">
        <f>VLOOKUP(Tabelle13[[#This Row],[Sorte]],Anzuchtdatenbank!B:I,3,FALSE)</f>
        <v>drinnen</v>
      </c>
      <c r="H3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bis Keimung Ziploc und Küchenpapier bei 25-28°C (Keimung)</v>
      </c>
      <c r="I3" s="1" t="str">
        <f>VLOOKUP(Tabelle13[[#This Row],[Sorte]],Anzuchtdatenbank!B:I,8,FALSE)</f>
        <v>1 cm</v>
      </c>
      <c r="J3" s="1" t="s">
        <v>410</v>
      </c>
      <c r="L3" s="1" t="s">
        <v>60</v>
      </c>
      <c r="M3" s="1" t="str">
        <f>VLOOKUP(Tabelle13[[#This Row],[Sorte]],Anzuchtdatenbank!B:M,11,FALSE)</f>
        <v>sobald frostfrei</v>
      </c>
      <c r="N3" s="1" t="s">
        <v>411</v>
      </c>
    </row>
    <row r="4" spans="1:20" ht="31.5" hidden="1" customHeight="1" x14ac:dyDescent="0.25">
      <c r="A4" s="1" t="s">
        <v>404</v>
      </c>
      <c r="B4" s="1" t="s">
        <v>405</v>
      </c>
      <c r="E4" s="1" t="str">
        <f>VLOOKUP(Tabelle13[[#This Row],[Sorte]],Anzuchtdatenbank!B:M,12,FALSE)</f>
        <v>50x50 cm</v>
      </c>
      <c r="F4" s="1" t="str">
        <f>VLOOKUP(Tabelle13[[#This Row],[Sorte]],Datenbank[[Sorte]:[Anzucht-Zeit]],2,FALSE)</f>
        <v>Februar</v>
      </c>
      <c r="G4" s="1" t="str">
        <f>VLOOKUP(Tabelle13[[#This Row],[Sorte]],Anzuchtdatenbank!B:I,3,FALSE)</f>
        <v>drinnen</v>
      </c>
      <c r="H4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bis Keimung Ziploc und Küchenpapier bei 25-28°C (Keimung)</v>
      </c>
      <c r="I4" s="1" t="str">
        <f>VLOOKUP(Tabelle13[[#This Row],[Sorte]],Anzuchtdatenbank!B:I,8,FALSE)</f>
        <v>1 cm</v>
      </c>
      <c r="J4" s="1" t="s">
        <v>410</v>
      </c>
      <c r="L4" s="1" t="s">
        <v>60</v>
      </c>
      <c r="M4" s="1" t="str">
        <f>VLOOKUP(Tabelle13[[#This Row],[Sorte]],Anzuchtdatenbank!B:M,11,FALSE)</f>
        <v>sobald frostfrei</v>
      </c>
      <c r="N4" s="1" t="s">
        <v>412</v>
      </c>
    </row>
    <row r="5" spans="1:20" ht="31.5" hidden="1" customHeight="1" x14ac:dyDescent="0.25">
      <c r="A5" s="1" t="s">
        <v>404</v>
      </c>
      <c r="B5" s="1" t="s">
        <v>425</v>
      </c>
      <c r="E5" s="1" t="str">
        <f>VLOOKUP(Tabelle13[[#This Row],[Sorte]],Anzuchtdatenbank!B:M,12,FALSE)</f>
        <v>50x40 cm</v>
      </c>
      <c r="F5" s="1" t="str">
        <f>VLOOKUP(Tabelle13[[#This Row],[Sorte]],Datenbank[[Sorte]:[Anzucht-Zeit]],2,FALSE)</f>
        <v>Februar</v>
      </c>
      <c r="G5" s="1" t="str">
        <f>VLOOKUP(Tabelle13[[#This Row],[Sorte]],Anzuchtdatenbank!B:I,3,FALSE)</f>
        <v>drinnen</v>
      </c>
      <c r="H5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bis Keimung Ziploc und Küchenpapier bei 25-28°C (Keimung)</v>
      </c>
      <c r="I5" s="1" t="str">
        <f>VLOOKUP(Tabelle13[[#This Row],[Sorte]],Anzuchtdatenbank!B:I,8,FALSE)</f>
        <v>0,5 cm</v>
      </c>
      <c r="J5" s="1" t="s">
        <v>410</v>
      </c>
      <c r="L5" s="1" t="s">
        <v>60</v>
      </c>
      <c r="M5" s="1" t="str">
        <f>VLOOKUP(Tabelle13[[#This Row],[Sorte]],Anzuchtdatenbank!B:M,11,FALSE)</f>
        <v>sobald frostfrei</v>
      </c>
    </row>
    <row r="6" spans="1:20" ht="31.5" hidden="1" customHeight="1" x14ac:dyDescent="0.25">
      <c r="A6" s="1" t="s">
        <v>404</v>
      </c>
      <c r="B6" s="1" t="s">
        <v>426</v>
      </c>
      <c r="E6" s="1" t="str">
        <f>VLOOKUP(Tabelle13[[#This Row],[Sorte]],Anzuchtdatenbank!B:M,12,FALSE)</f>
        <v>50x50 cm</v>
      </c>
      <c r="F6" s="1">
        <f>VLOOKUP(Tabelle13[[#This Row],[Sorte]],Datenbank[[Sorte]:[Anzucht-Zeit]],2,FALSE)</f>
        <v>0</v>
      </c>
      <c r="G6" s="1" t="str">
        <f>VLOOKUP(Tabelle13[[#This Row],[Sorte]],Anzuchtdatenbank!B:I,3,FALSE)</f>
        <v>drinnen</v>
      </c>
      <c r="H6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bis Keimung Ziploc und Küchenpapier bei 25-28°C (Keimung)</v>
      </c>
      <c r="I6" s="1" t="str">
        <f>VLOOKUP(Tabelle13[[#This Row],[Sorte]],Anzuchtdatenbank!B:I,8,FALSE)</f>
        <v>1 cm</v>
      </c>
      <c r="J6" s="1" t="s">
        <v>410</v>
      </c>
      <c r="L6" s="1" t="s">
        <v>60</v>
      </c>
      <c r="M6" s="1" t="str">
        <f>VLOOKUP(Tabelle13[[#This Row],[Sorte]],Anzuchtdatenbank!B:M,11,FALSE)</f>
        <v>sobald frostfrei</v>
      </c>
    </row>
    <row r="7" spans="1:20" ht="31.5" hidden="1" customHeight="1" x14ac:dyDescent="0.25">
      <c r="A7" s="1" t="s">
        <v>345</v>
      </c>
      <c r="B7" s="1" t="s">
        <v>346</v>
      </c>
      <c r="E7" s="1" t="str">
        <f>VLOOKUP(Tabelle13[[#This Row],[Sorte]],Anzuchtdatenbank!B:M,12,FALSE)</f>
        <v>20x60 cm</v>
      </c>
      <c r="F7" s="1" t="str">
        <f>VLOOKUP(Tabelle13[[#This Row],[Sorte]],Datenbank[[Sorte]:[Anzucht-Zeit]],2,FALSE)</f>
        <v>April-Mai</v>
      </c>
      <c r="G7" s="1" t="str">
        <f>VLOOKUP(Tabelle13[[#This Row],[Sorte]],Anzuchtdatenbank!B:I,3,FALSE)</f>
        <v>drinnen</v>
      </c>
      <c r="H7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6-8 h Wasser bei 14-20°C</v>
      </c>
      <c r="I7" s="1" t="str">
        <f>VLOOKUP(Tabelle13[[#This Row],[Sorte]],Anzuchtdatenbank!B:I,8,FALSE)</f>
        <v>3-4 cm</v>
      </c>
      <c r="J7" s="1" t="s">
        <v>5</v>
      </c>
      <c r="M7" s="1" t="str">
        <f>VLOOKUP(Tabelle13[[#This Row],[Sorte]],Anzuchtdatenbank!B:M,11,FALSE)</f>
        <v>sobald frostfrei</v>
      </c>
      <c r="N7" s="1" t="s">
        <v>413</v>
      </c>
    </row>
    <row r="8" spans="1:20" ht="31.5" hidden="1" customHeight="1" x14ac:dyDescent="0.25">
      <c r="A8" s="1" t="s">
        <v>300</v>
      </c>
      <c r="B8" s="1" t="s">
        <v>301</v>
      </c>
      <c r="E8" s="1" t="str">
        <f>VLOOKUP(Tabelle13[[#This Row],[Sorte]],Anzuchtdatenbank!B:M,12,FALSE)</f>
        <v>30x30 cm</v>
      </c>
      <c r="F8" s="1" t="str">
        <f>VLOOKUP(Tabelle13[[#This Row],[Sorte]],Datenbank[[Sorte]:[Anzucht-Zeit]],2,FALSE)</f>
        <v>Januar-April
Juli</v>
      </c>
      <c r="G8" s="1" t="str">
        <f>VLOOKUP(Tabelle13[[#This Row],[Sorte]],Anzuchtdatenbank!B:I,3,FALSE)</f>
        <v>drinnen oder Frühbeet</v>
      </c>
      <c r="H8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/>
      </c>
      <c r="I8" s="1" t="str">
        <f>VLOOKUP(Tabelle13[[#This Row],[Sorte]],Anzuchtdatenbank!B:I,8,FALSE)</f>
        <v>leicht mit Erde/ Sand bedecken</v>
      </c>
      <c r="J8" s="1" t="s">
        <v>5</v>
      </c>
      <c r="M8" s="1" t="str">
        <f>VLOOKUP(Tabelle13[[#This Row],[Sorte]],Anzuchtdatenbank!B:M,11,FALSE)</f>
        <v>ab März</v>
      </c>
    </row>
    <row r="9" spans="1:20" ht="31.5" hidden="1" customHeight="1" x14ac:dyDescent="0.25">
      <c r="A9" s="1" t="s">
        <v>300</v>
      </c>
      <c r="B9" s="1" t="s">
        <v>308</v>
      </c>
      <c r="E9" s="1" t="str">
        <f>VLOOKUP(Tabelle13[[#This Row],[Sorte]],Anzuchtdatenbank!B:M,12,FALSE)</f>
        <v>30x30 cm</v>
      </c>
      <c r="F9" s="1" t="str">
        <f>VLOOKUP(Tabelle13[[#This Row],[Sorte]],Datenbank[[Sorte]:[Anzucht-Zeit]],2,FALSE)</f>
        <v>Februar-Juni</v>
      </c>
      <c r="G9" s="1" t="str">
        <f>VLOOKUP(Tabelle13[[#This Row],[Sorte]],Anzuchtdatenbank!B:I,3,FALSE)</f>
        <v>Februar-April drinnen
ab Mai draußen</v>
      </c>
      <c r="H9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/>
      </c>
      <c r="I9" s="1" t="str">
        <f>VLOOKUP(Tabelle13[[#This Row],[Sorte]],Anzuchtdatenbank!B:I,8,FALSE)</f>
        <v>leicht mit Erde/ Sand bedecken</v>
      </c>
      <c r="J9" s="1" t="s">
        <v>411</v>
      </c>
      <c r="M9" s="1" t="str">
        <f>VLOOKUP(Tabelle13[[#This Row],[Sorte]],Anzuchtdatenbank!B:M,11,FALSE)</f>
        <v>ab März</v>
      </c>
    </row>
    <row r="10" spans="1:20" ht="31.5" hidden="1" customHeight="1" x14ac:dyDescent="0.25">
      <c r="A10" s="1" t="s">
        <v>318</v>
      </c>
      <c r="B10" s="1" t="s">
        <v>319</v>
      </c>
      <c r="E10" s="1" t="str">
        <f>VLOOKUP(Tabelle13[[#This Row],[Sorte]],Anzuchtdatenbank!B:M,12,FALSE)</f>
        <v>4x25 cm</v>
      </c>
      <c r="F10" s="1" t="str">
        <f>VLOOKUP(Tabelle13[[#This Row],[Sorte]],Datenbank[[Sorte]:[Anzucht-Zeit]],2,FALSE)</f>
        <v>März-August</v>
      </c>
      <c r="G10" s="1" t="str">
        <f>VLOOKUP(Tabelle13[[#This Row],[Sorte]],Anzuchtdatenbank!B:I,3,FALSE)</f>
        <v>März-April drinnen
ab Mai draußen</v>
      </c>
      <c r="H10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/>
      </c>
      <c r="I10" s="1" t="str">
        <f>VLOOKUP(Tabelle13[[#This Row],[Sorte]],Anzuchtdatenbank!B:I,8,FALSE)</f>
        <v>leicht mit Erde/ Sand bedecken</v>
      </c>
      <c r="J10" s="1" t="s">
        <v>220</v>
      </c>
      <c r="M10" s="1" t="str">
        <f>VLOOKUP(Tabelle13[[#This Row],[Sorte]],Anzuchtdatenbank!B:M,11,FALSE)</f>
        <v>ab Mai</v>
      </c>
    </row>
    <row r="11" spans="1:20" ht="31.5" hidden="1" customHeight="1" x14ac:dyDescent="0.25">
      <c r="A11" s="1" t="s">
        <v>48</v>
      </c>
      <c r="B11" s="1" t="s">
        <v>49</v>
      </c>
      <c r="E11" s="1" t="str">
        <f>VLOOKUP(Tabelle13[[#This Row],[Sorte]],Anzuchtdatenbank!B:M,12,FALSE)</f>
        <v>100x100 cm</v>
      </c>
      <c r="F11" s="1" t="str">
        <f>VLOOKUP(Tabelle13[[#This Row],[Sorte]],Datenbank[[Sorte]:[Anzucht-Zeit]],2,FALSE)</f>
        <v>April-Mai</v>
      </c>
      <c r="G11" s="1" t="str">
        <f>VLOOKUP(Tabelle13[[#This Row],[Sorte]],Anzuchtdatenbank!B:I,3,FALSE)</f>
        <v>April drinnen
Mai draußen</v>
      </c>
      <c r="H11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12h Glas mit Wasser/Kamillentee bei 20-22°C (Keimung)
15-18°C (Anzucht)</v>
      </c>
      <c r="I11" s="1" t="str">
        <f>VLOOKUP(Tabelle13[[#This Row],[Sorte]],Anzuchtdatenbank!B:I,8,FALSE)</f>
        <v>3 cm</v>
      </c>
      <c r="J11" s="1" t="s">
        <v>5</v>
      </c>
      <c r="M11" s="1" t="str">
        <f>VLOOKUP(Tabelle13[[#This Row],[Sorte]],Anzuchtdatenbank!B:M,11,FALSE)</f>
        <v>sobald frostfrei</v>
      </c>
    </row>
    <row r="12" spans="1:20" ht="31.5" hidden="1" customHeight="1" x14ac:dyDescent="0.25">
      <c r="A12" s="1" t="s">
        <v>48</v>
      </c>
      <c r="B12" s="1" t="s">
        <v>419</v>
      </c>
      <c r="E12" s="1" t="str">
        <f>VLOOKUP(Tabelle13[[#This Row],[Sorte]],Anzuchtdatenbank!B:M,12,FALSE)</f>
        <v>100x100 cm</v>
      </c>
      <c r="F12" s="1" t="str">
        <f>VLOOKUP(Tabelle13[[#This Row],[Sorte]],Datenbank[[Sorte]:[Anzucht-Zeit]],2,FALSE)</f>
        <v>April-Juni</v>
      </c>
      <c r="G12" s="1" t="str">
        <f>VLOOKUP(Tabelle13[[#This Row],[Sorte]],Anzuchtdatenbank!B:I,3,FALSE)</f>
        <v>April drinnen
Mai draußen</v>
      </c>
      <c r="H12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12h Glas mit Wasser/Kamillentee bei 20-22°C (Keimung)
15-18°C (Anzucht)</v>
      </c>
      <c r="I12" s="1" t="str">
        <f>VLOOKUP(Tabelle13[[#This Row],[Sorte]],Anzuchtdatenbank!B:I,8,FALSE)</f>
        <v>3 cm</v>
      </c>
      <c r="J12" s="1" t="s">
        <v>5</v>
      </c>
      <c r="M12" s="1" t="str">
        <f>VLOOKUP(Tabelle13[[#This Row],[Sorte]],Anzuchtdatenbank!B:M,11,FALSE)</f>
        <v>sobald frostfrei</v>
      </c>
    </row>
    <row r="13" spans="1:20" ht="31.5" customHeight="1" x14ac:dyDescent="0.25">
      <c r="A13" s="1" t="s">
        <v>395</v>
      </c>
      <c r="B13" s="1" t="s">
        <v>396</v>
      </c>
      <c r="E13" s="1" t="str">
        <f>VLOOKUP(Tabelle13[[#This Row],[Sorte]],Anzuchtdatenbank!B:M,12,FALSE)</f>
        <v>50x50 cm</v>
      </c>
      <c r="F13" s="1" t="str">
        <f>VLOOKUP(Tabelle13[[#This Row],[Sorte]],Datenbank[[Sorte]:[Anzucht-Zeit]],2,FALSE)</f>
        <v>März</v>
      </c>
      <c r="G13" s="1" t="str">
        <f>VLOOKUP(Tabelle13[[#This Row],[Sorte]],Anzuchtdatenbank!B:I,3,FALSE)</f>
        <v>drinnen</v>
      </c>
      <c r="H13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/>
      </c>
      <c r="I13" s="1" t="str">
        <f>VLOOKUP(Tabelle13[[#This Row],[Sorte]],Anzuchtdatenbank!B:I,8,FALSE)</f>
        <v>leicht mit Erde/ Sand bedecken</v>
      </c>
      <c r="J13" s="1" t="s">
        <v>4</v>
      </c>
      <c r="M13" s="1" t="str">
        <f>VLOOKUP(Tabelle13[[#This Row],[Sorte]],Anzuchtdatenbank!B:M,11,FALSE)</f>
        <v>ab Mai</v>
      </c>
    </row>
    <row r="14" spans="1:20" ht="31.5" hidden="1" customHeight="1" x14ac:dyDescent="0.25">
      <c r="A14" s="1" t="s">
        <v>242</v>
      </c>
      <c r="B14" s="1" t="s">
        <v>243</v>
      </c>
      <c r="E14" s="1" t="str">
        <f>VLOOKUP(Tabelle13[[#This Row],[Sorte]],Anzuchtdatenbank!B:M,12,FALSE)</f>
        <v>30x120 cm</v>
      </c>
      <c r="F14" s="1" t="str">
        <f>VLOOKUP(Tabelle13[[#This Row],[Sorte]],Datenbank[[Sorte]:[Anzucht-Zeit]],2,FALSE)</f>
        <v>April-Juni</v>
      </c>
      <c r="G14" s="1" t="str">
        <f>VLOOKUP(Tabelle13[[#This Row],[Sorte]],Anzuchtdatenbank!B:I,3,FALSE)</f>
        <v>April-Mai drinnen
Mai-Juni draußen</v>
      </c>
      <c r="H14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12-48h Glas mit Wasser/Kamillentee bei 20-25°C</v>
      </c>
      <c r="I14" s="1" t="str">
        <f>VLOOKUP(Tabelle13[[#This Row],[Sorte]],Anzuchtdatenbank!B:I,8,FALSE)</f>
        <v>1-2 cm</v>
      </c>
      <c r="J14" s="1" t="s">
        <v>5</v>
      </c>
      <c r="M14" s="1" t="str">
        <f>VLOOKUP(Tabelle13[[#This Row],[Sorte]],Anzuchtdatenbank!B:M,11,FALSE)</f>
        <v>sobald frostfrei</v>
      </c>
    </row>
    <row r="15" spans="1:20" ht="31.5" hidden="1" customHeight="1" x14ac:dyDescent="0.25">
      <c r="A15" s="1" t="s">
        <v>9</v>
      </c>
      <c r="B15" s="1" t="s">
        <v>249</v>
      </c>
      <c r="E15" s="1" t="str">
        <f>VLOOKUP(Tabelle13[[#This Row],[Sorte]],Anzuchtdatenbank!B:M,12,FALSE)</f>
        <v>50x60 cm</v>
      </c>
      <c r="F15" s="1" t="str">
        <f>VLOOKUP(Tabelle13[[#This Row],[Sorte]],Datenbank[[Sorte]:[Anzucht-Zeit]],2,FALSE)</f>
        <v>April-Mai</v>
      </c>
      <c r="G15" s="1" t="str">
        <f>VLOOKUP(Tabelle13[[#This Row],[Sorte]],Anzuchtdatenbank!B:I,3,FALSE)</f>
        <v>April drinnen
Mai draußen</v>
      </c>
      <c r="H15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12-24h Glas mit Wasser/Kamillentee bei 20-25°C</v>
      </c>
      <c r="I15" s="1" t="str">
        <f>VLOOKUP(Tabelle13[[#This Row],[Sorte]],Anzuchtdatenbank!B:I,8,FALSE)</f>
        <v>2 cm</v>
      </c>
      <c r="J15" s="1" t="s">
        <v>5</v>
      </c>
      <c r="M15" s="1" t="str">
        <f>VLOOKUP(Tabelle13[[#This Row],[Sorte]],Anzuchtdatenbank!B:M,11,FALSE)</f>
        <v>sobald frostfrei</v>
      </c>
    </row>
    <row r="16" spans="1:20" ht="31.5" hidden="1" customHeight="1" x14ac:dyDescent="0.25">
      <c r="A16" s="1" t="s">
        <v>9</v>
      </c>
      <c r="B16" s="1" t="s">
        <v>420</v>
      </c>
      <c r="E16" s="1" t="str">
        <f>VLOOKUP(Tabelle13[[#This Row],[Sorte]],Anzuchtdatenbank!B:M,12,FALSE)</f>
        <v>50x60 cm</v>
      </c>
      <c r="F16" s="1" t="str">
        <f>VLOOKUP(Tabelle13[[#This Row],[Sorte]],Datenbank[[Sorte]:[Anzucht-Zeit]],2,FALSE)</f>
        <v>April-Mai</v>
      </c>
      <c r="G16" s="1" t="str">
        <f>VLOOKUP(Tabelle13[[#This Row],[Sorte]],Anzuchtdatenbank!B:I,3,FALSE)</f>
        <v>April drinnen
Mai draußen</v>
      </c>
      <c r="H16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12-24h Glas mit Wasser/Kamillentee bei 20-25°C</v>
      </c>
      <c r="I16" s="1" t="str">
        <f>VLOOKUP(Tabelle13[[#This Row],[Sorte]],Anzuchtdatenbank!B:I,8,FALSE)</f>
        <v>2 cm</v>
      </c>
      <c r="J16" s="1" t="s">
        <v>5</v>
      </c>
      <c r="M16" s="1" t="str">
        <f>VLOOKUP(Tabelle13[[#This Row],[Sorte]],Anzuchtdatenbank!B:M,11,FALSE)</f>
        <v>sobald frostfrei</v>
      </c>
    </row>
    <row r="17" spans="1:13" ht="31.5" customHeight="1" x14ac:dyDescent="0.25">
      <c r="A17" s="1" t="s">
        <v>29</v>
      </c>
      <c r="B17" s="1" t="s">
        <v>31</v>
      </c>
      <c r="E17" s="1" t="str">
        <f>VLOOKUP(Tabelle13[[#This Row],[Sorte]],Anzuchtdatenbank!B:M,12,FALSE)</f>
        <v>3x35 cm</v>
      </c>
      <c r="F17" s="1" t="str">
        <f>VLOOKUP(Tabelle13[[#This Row],[Sorte]],Datenbank[[Sorte]:[Anzucht-Zeit]],2,FALSE)</f>
        <v>Februar-Juni</v>
      </c>
      <c r="G17" s="1" t="str">
        <f>VLOOKUP(Tabelle13[[#This Row],[Sorte]],Anzuchtdatenbank!B:I,3,FALSE)</f>
        <v>draußen</v>
      </c>
      <c r="H17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bis Keimung Sand bei 16-18°C</v>
      </c>
      <c r="I17" s="1" t="str">
        <f>VLOOKUP(Tabelle13[[#This Row],[Sorte]],Anzuchtdatenbank!B:I,8,FALSE)</f>
        <v>2 cm</v>
      </c>
      <c r="J17" s="1" t="s">
        <v>4</v>
      </c>
      <c r="M17" s="1">
        <f>VLOOKUP(Tabelle13[[#This Row],[Sorte]],Anzuchtdatenbank!B:M,11,FALSE)</f>
        <v>0</v>
      </c>
    </row>
    <row r="18" spans="1:13" ht="31.5" customHeight="1" x14ac:dyDescent="0.25">
      <c r="A18" s="1" t="s">
        <v>422</v>
      </c>
      <c r="B18" s="1" t="s">
        <v>423</v>
      </c>
      <c r="E18" s="1" t="str">
        <f>VLOOKUP(Tabelle13[[#This Row],[Sorte]],Anzuchtdatenbank!B:M,12,FALSE)</f>
        <v>30x30 cm</v>
      </c>
      <c r="F18" s="1" t="str">
        <f>VLOOKUP(Tabelle13[[#This Row],[Sorte]],Datenbank[[Sorte]:[Anzucht-Zeit]],2,FALSE)</f>
        <v>Februar-Oktober</v>
      </c>
      <c r="G18" s="1" t="str">
        <f>VLOOKUP(Tabelle13[[#This Row],[Sorte]],Anzuchtdatenbank!B:I,3,FALSE)</f>
        <v>draußen</v>
      </c>
      <c r="H18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/>
      </c>
      <c r="I18" s="1" t="str">
        <f>VLOOKUP(Tabelle13[[#This Row],[Sorte]],Anzuchtdatenbank!B:I,8,FALSE)</f>
        <v>2 cm</v>
      </c>
      <c r="J18" s="1" t="s">
        <v>4</v>
      </c>
      <c r="M18" s="1">
        <f>VLOOKUP(Tabelle13[[#This Row],[Sorte]],Anzuchtdatenbank!B:M,11,FALSE)</f>
        <v>0</v>
      </c>
    </row>
    <row r="19" spans="1:13" ht="31.5" hidden="1" customHeight="1" x14ac:dyDescent="0.25">
      <c r="A19" s="1" t="s">
        <v>345</v>
      </c>
      <c r="B19" s="1" t="s">
        <v>346</v>
      </c>
      <c r="E19" s="1" t="str">
        <f>VLOOKUP(Tabelle13[[#This Row],[Sorte]],Anzuchtdatenbank!B:M,12,FALSE)</f>
        <v>20x60 cm</v>
      </c>
      <c r="F19" s="1" t="str">
        <f>VLOOKUP(Tabelle13[[#This Row],[Sorte]],Datenbank[[Sorte]:[Anzucht-Zeit]],2,FALSE)</f>
        <v>April-Mai</v>
      </c>
      <c r="G19" s="1" t="str">
        <f>VLOOKUP(Tabelle13[[#This Row],[Sorte]],Anzuchtdatenbank!B:I,3,FALSE)</f>
        <v>drinnen</v>
      </c>
      <c r="H19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6-8 h Wasser bei 14-20°C</v>
      </c>
      <c r="I19" s="1" t="str">
        <f>VLOOKUP(Tabelle13[[#This Row],[Sorte]],Anzuchtdatenbank!B:I,8,FALSE)</f>
        <v>3-4 cm</v>
      </c>
      <c r="J19" s="1" t="s">
        <v>5</v>
      </c>
      <c r="M19" s="1" t="str">
        <f>VLOOKUP(Tabelle13[[#This Row],[Sorte]],Anzuchtdatenbank!B:M,11,FALSE)</f>
        <v>sobald frostfrei</v>
      </c>
    </row>
    <row r="20" spans="1:13" ht="31.5" hidden="1" customHeight="1" x14ac:dyDescent="0.25">
      <c r="A20" s="1" t="s">
        <v>268</v>
      </c>
      <c r="B20" s="1" t="s">
        <v>224</v>
      </c>
      <c r="E20" s="1" t="str">
        <f>VLOOKUP(Tabelle13[[#This Row],[Sorte]],Anzuchtdatenbank!B:M,12,FALSE)</f>
        <v>45x45</v>
      </c>
      <c r="F20" s="1" t="str">
        <f>VLOOKUP(Tabelle13[[#This Row],[Sorte]],Datenbank[[Sorte]:[Anzucht-Zeit]],2,FALSE)</f>
        <v>Februar-März</v>
      </c>
      <c r="G20" s="1" t="str">
        <f>VLOOKUP(Tabelle13[[#This Row],[Sorte]],Anzuchtdatenbank!B:I,3,FALSE)</f>
        <v>drinnen</v>
      </c>
      <c r="H20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bis Keimung Ziploc und Küchenpapier bei 20-25°C</v>
      </c>
      <c r="I20" s="1" t="str">
        <f>VLOOKUP(Tabelle13[[#This Row],[Sorte]],Anzuchtdatenbank!B:I,8,FALSE)</f>
        <v>leicht mit Erde/ Sand bedecken</v>
      </c>
      <c r="J20" s="1" t="s">
        <v>3</v>
      </c>
      <c r="L20" s="1" t="s">
        <v>60</v>
      </c>
      <c r="M20" s="1" t="str">
        <f>VLOOKUP(Tabelle13[[#This Row],[Sorte]],Anzuchtdatenbank!B:M,11,FALSE)</f>
        <v>sobald frostfrei</v>
      </c>
    </row>
    <row r="21" spans="1:13" ht="31.5" customHeight="1" x14ac:dyDescent="0.25">
      <c r="A21" s="1" t="s">
        <v>268</v>
      </c>
      <c r="B21" s="1" t="s">
        <v>430</v>
      </c>
      <c r="E21" s="1" t="str">
        <f>VLOOKUP(Tabelle13[[#This Row],[Sorte]],Anzuchtdatenbank!B:M,12,FALSE)</f>
        <v>65x65 cm</v>
      </c>
      <c r="F21" s="1" t="str">
        <f>VLOOKUP(Tabelle13[[#This Row],[Sorte]],Datenbank[[Sorte]:[Anzucht-Zeit]],2,FALSE)</f>
        <v>Januar - April</v>
      </c>
      <c r="G21" s="1" t="str">
        <f>VLOOKUP(Tabelle13[[#This Row],[Sorte]],Anzuchtdatenbank!B:I,3,FALSE)</f>
        <v>drinnen</v>
      </c>
      <c r="H21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bis Keimung Ziploc und Küchenpapier bei 20-24°C</v>
      </c>
      <c r="I21" s="1" t="str">
        <f>VLOOKUP(Tabelle13[[#This Row],[Sorte]],Anzuchtdatenbank!B:I,8,FALSE)</f>
        <v>leicht mit Erde/ Sand bedecken</v>
      </c>
      <c r="J21" s="1" t="s">
        <v>4</v>
      </c>
      <c r="M21" s="1" t="str">
        <f>VLOOKUP(Tabelle13[[#This Row],[Sorte]],Anzuchtdatenbank!B:M,11,FALSE)</f>
        <v>sobald frostfrei</v>
      </c>
    </row>
    <row r="22" spans="1:13" ht="31.5" customHeight="1" x14ac:dyDescent="0.25">
      <c r="A22" s="1" t="s">
        <v>268</v>
      </c>
      <c r="B22" s="1" t="s">
        <v>434</v>
      </c>
      <c r="E22" s="1" t="str">
        <f>VLOOKUP(Tabelle13[[#This Row],[Sorte]],Anzuchtdatenbank!B:M,12,FALSE)</f>
        <v>60x50 cm</v>
      </c>
      <c r="F22" s="1" t="str">
        <f>VLOOKUP(Tabelle13[[#This Row],[Sorte]],Datenbank[[Sorte]:[Anzucht-Zeit]],2,FALSE)</f>
        <v>Februar-März</v>
      </c>
      <c r="G22" s="1" t="str">
        <f>VLOOKUP(Tabelle13[[#This Row],[Sorte]],Anzuchtdatenbank!B:I,3,FALSE)</f>
        <v>drinnen</v>
      </c>
      <c r="H22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bis Keimung Ziploc und Küchenpapier bei 20-22°C</v>
      </c>
      <c r="I22" s="1" t="str">
        <f>VLOOKUP(Tabelle13[[#This Row],[Sorte]],Anzuchtdatenbank!B:I,8,FALSE)</f>
        <v>0,5-1 cm</v>
      </c>
      <c r="J22" s="1" t="s">
        <v>4</v>
      </c>
      <c r="M22" s="1" t="str">
        <f>VLOOKUP(Tabelle13[[#This Row],[Sorte]],Anzuchtdatenbank!B:M,11,FALSE)</f>
        <v>sobald frostfrei</v>
      </c>
    </row>
    <row r="23" spans="1:13" ht="31.5" customHeight="1" x14ac:dyDescent="0.25">
      <c r="A23" s="1" t="s">
        <v>269</v>
      </c>
      <c r="B23" s="1" t="s">
        <v>437</v>
      </c>
      <c r="E23" s="1" t="str">
        <f>VLOOKUP(Tabelle13[[#This Row],[Sorte]],Anzuchtdatenbank!B:M,12,FALSE)</f>
        <v>70x100 cm</v>
      </c>
      <c r="F23" s="1" t="str">
        <f>VLOOKUP(Tabelle13[[#This Row],[Sorte]],Datenbank[[Sorte]:[Anzucht-Zeit]],2,FALSE)</f>
        <v>März-April</v>
      </c>
      <c r="G23" s="1" t="str">
        <f>VLOOKUP(Tabelle13[[#This Row],[Sorte]],Anzuchtdatenbank!B:I,3,FALSE)</f>
        <v>drinnen</v>
      </c>
      <c r="H23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bis Keimung Ziploc und Küchenpapier bei 25-29°C</v>
      </c>
      <c r="I23" s="1">
        <f>VLOOKUP(Tabelle13[[#This Row],[Sorte]],Anzuchtdatenbank!B:I,8,FALSE)</f>
        <v>1</v>
      </c>
      <c r="J23" s="1" t="s">
        <v>4</v>
      </c>
      <c r="M23" s="1" t="str">
        <f>VLOOKUP(Tabelle13[[#This Row],[Sorte]],Anzuchtdatenbank!B:M,11,FALSE)</f>
        <v>sobald frostfrei</v>
      </c>
    </row>
    <row r="24" spans="1:13" ht="31.5" customHeight="1" x14ac:dyDescent="0.25">
      <c r="A24" s="1" t="s">
        <v>276</v>
      </c>
      <c r="B24" s="1" t="s">
        <v>439</v>
      </c>
      <c r="E24" s="1" t="str">
        <f>VLOOKUP(Tabelle13[[#This Row],[Sorte]],Anzuchtdatenbank!B:M,12,FALSE)</f>
        <v>70x100 cm</v>
      </c>
      <c r="F24" s="1" t="str">
        <f>VLOOKUP(Tabelle13[[#This Row],[Sorte]],Datenbank[[Sorte]:[Anzucht-Zeit]],2,FALSE)</f>
        <v>März-April</v>
      </c>
      <c r="G24" s="1" t="str">
        <f>VLOOKUP(Tabelle13[[#This Row],[Sorte]],Anzuchtdatenbank!B:I,3,FALSE)</f>
        <v>drinnen</v>
      </c>
      <c r="H24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bis Keimung Ziploc und Küchenpapier bei 20-25°C</v>
      </c>
      <c r="I24" s="1" t="str">
        <f>VLOOKUP(Tabelle13[[#This Row],[Sorte]],Anzuchtdatenbank!B:I,8,FALSE)</f>
        <v>leicht mit Erde/ Sand bedecken</v>
      </c>
      <c r="J24" s="1" t="s">
        <v>4</v>
      </c>
      <c r="M24" s="1" t="str">
        <f>VLOOKUP(Tabelle13[[#This Row],[Sorte]],Anzuchtdatenbank!B:M,11,FALSE)</f>
        <v>sobald frostfrei</v>
      </c>
    </row>
    <row r="25" spans="1:13" ht="31.5" hidden="1" customHeight="1" x14ac:dyDescent="0.25">
      <c r="A25" s="1" t="s">
        <v>375</v>
      </c>
      <c r="E25" s="1" t="e">
        <f>VLOOKUP(Tabelle13[[#This Row],[Sorte]],Anzuchtdatenbank!B:M,12,FALSE)</f>
        <v>#N/A</v>
      </c>
      <c r="F25" s="1" t="e">
        <f>VLOOKUP(Tabelle13[[#This Row],[Sorte]],Datenbank[[Sorte]:[Anzucht-Zeit]],2,FALSE)</f>
        <v>#N/A</v>
      </c>
      <c r="G25" s="1" t="e">
        <f>VLOOKUP(Tabelle13[[#This Row],[Sorte]],Anzuchtdatenbank!B:I,3,FALSE)</f>
        <v>#N/A</v>
      </c>
      <c r="H25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25" s="1" t="e">
        <f>VLOOKUP(Tabelle13[[#This Row],[Sorte]],Anzuchtdatenbank!B:I,8,FALSE)</f>
        <v>#N/A</v>
      </c>
      <c r="M25" s="1" t="e">
        <f>VLOOKUP(Tabelle13[[#This Row],[Sorte]],Anzuchtdatenbank!B:M,11,FALSE)</f>
        <v>#N/A</v>
      </c>
    </row>
    <row r="26" spans="1:13" ht="31.5" hidden="1" customHeight="1" x14ac:dyDescent="0.25">
      <c r="A26" s="1" t="s">
        <v>440</v>
      </c>
      <c r="B26" s="1" t="s">
        <v>441</v>
      </c>
      <c r="E26" s="1" t="str">
        <f>VLOOKUP(Tabelle13[[#This Row],[Sorte]],Anzuchtdatenbank!B:M,12,FALSE)</f>
        <v>30x50 cm</v>
      </c>
      <c r="F26" s="1" t="str">
        <f>VLOOKUP(Tabelle13[[#This Row],[Sorte]],Datenbank[[Sorte]:[Anzucht-Zeit]],2,FALSE)</f>
        <v>April-Juni</v>
      </c>
      <c r="G26" s="1" t="str">
        <f>VLOOKUP(Tabelle13[[#This Row],[Sorte]],Anzuchtdatenbank!B:I,3,FALSE)</f>
        <v>draußen</v>
      </c>
      <c r="H26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/>
      </c>
      <c r="I26" s="1" t="str">
        <f>VLOOKUP(Tabelle13[[#This Row],[Sorte]],Anzuchtdatenbank!B:I,8,FALSE)</f>
        <v>4 cm</v>
      </c>
      <c r="J26" s="1" t="s">
        <v>5</v>
      </c>
      <c r="M26" s="1">
        <f>VLOOKUP(Tabelle13[[#This Row],[Sorte]],Anzuchtdatenbank!B:M,11,FALSE)</f>
        <v>0</v>
      </c>
    </row>
    <row r="27" spans="1:13" ht="31.5" customHeight="1" x14ac:dyDescent="0.25">
      <c r="A27" s="1" t="s">
        <v>446</v>
      </c>
      <c r="B27" s="1" t="s">
        <v>447</v>
      </c>
      <c r="E27" s="1" t="str">
        <f>VLOOKUP(Tabelle13[[#This Row],[Sorte]],Anzuchtdatenbank!B:M,12,FALSE)</f>
        <v>50x50 cm</v>
      </c>
      <c r="F27" s="1" t="str">
        <f>VLOOKUP(Tabelle13[[#This Row],[Sorte]],Datenbank[[Sorte]:[Anzucht-Zeit]],2,FALSE)</f>
        <v>März-April</v>
      </c>
      <c r="G27" s="1" t="str">
        <f>VLOOKUP(Tabelle13[[#This Row],[Sorte]],Anzuchtdatenbank!B:I,3,FALSE)</f>
        <v>drinnen</v>
      </c>
      <c r="H27" s="1" t="str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/>
      </c>
      <c r="I27" s="1" t="str">
        <f>VLOOKUP(Tabelle13[[#This Row],[Sorte]],Anzuchtdatenbank!B:I,8,FALSE)</f>
        <v>1 cm</v>
      </c>
      <c r="J27" s="1" t="s">
        <v>4</v>
      </c>
      <c r="M27" s="1" t="str">
        <f>VLOOKUP(Tabelle13[[#This Row],[Sorte]],Anzuchtdatenbank!B:M,11,FALSE)</f>
        <v>sobald frostfrei</v>
      </c>
    </row>
    <row r="28" spans="1:13" ht="31.5" hidden="1" customHeight="1" x14ac:dyDescent="0.25">
      <c r="E28" s="1" t="e">
        <f>VLOOKUP(Tabelle13[[#This Row],[Sorte]],Anzuchtdatenbank!B:M,12,FALSE)</f>
        <v>#N/A</v>
      </c>
      <c r="F28" s="1" t="e">
        <f>VLOOKUP(Tabelle13[[#This Row],[Sorte]],Datenbank[[Sorte]:[Anzucht-Zeit]],2,FALSE)</f>
        <v>#N/A</v>
      </c>
      <c r="G28" s="1" t="e">
        <f>VLOOKUP(Tabelle13[[#This Row],[Sorte]],Anzuchtdatenbank!B:I,3,FALSE)</f>
        <v>#N/A</v>
      </c>
      <c r="H28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28" s="1" t="e">
        <f>VLOOKUP(Tabelle13[[#This Row],[Sorte]],Anzuchtdatenbank!B:I,8,FALSE)</f>
        <v>#N/A</v>
      </c>
      <c r="M28" s="1" t="e">
        <f>VLOOKUP(Tabelle13[[#This Row],[Sorte]],Anzuchtdatenbank!B:M,11,FALSE)</f>
        <v>#N/A</v>
      </c>
    </row>
    <row r="29" spans="1:13" ht="31.5" hidden="1" customHeight="1" x14ac:dyDescent="0.25">
      <c r="E29" s="1" t="e">
        <f>VLOOKUP(Tabelle13[[#This Row],[Sorte]],Anzuchtdatenbank!B:M,12,FALSE)</f>
        <v>#N/A</v>
      </c>
      <c r="F29" s="1" t="e">
        <f>VLOOKUP(Tabelle13[[#This Row],[Sorte]],Datenbank[[Sorte]:[Anzucht-Zeit]],2,FALSE)</f>
        <v>#N/A</v>
      </c>
      <c r="G29" s="1" t="e">
        <f>VLOOKUP(Tabelle13[[#This Row],[Sorte]],Anzuchtdatenbank!B:I,3,FALSE)</f>
        <v>#N/A</v>
      </c>
      <c r="H29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29" s="1" t="e">
        <f>VLOOKUP(Tabelle13[[#This Row],[Sorte]],Anzuchtdatenbank!B:I,8,FALSE)</f>
        <v>#N/A</v>
      </c>
      <c r="M29" s="1" t="e">
        <f>VLOOKUP(Tabelle13[[#This Row],[Sorte]],Anzuchtdatenbank!B:M,11,FALSE)</f>
        <v>#N/A</v>
      </c>
    </row>
    <row r="30" spans="1:13" ht="31.5" hidden="1" customHeight="1" x14ac:dyDescent="0.25">
      <c r="E30" s="1" t="e">
        <f>VLOOKUP(Tabelle13[[#This Row],[Sorte]],Anzuchtdatenbank!B:M,12,FALSE)</f>
        <v>#N/A</v>
      </c>
      <c r="F30" s="1" t="e">
        <f>VLOOKUP(Tabelle13[[#This Row],[Sorte]],Datenbank[[Sorte]:[Anzucht-Zeit]],2,FALSE)</f>
        <v>#N/A</v>
      </c>
      <c r="G30" s="1" t="e">
        <f>VLOOKUP(Tabelle13[[#This Row],[Sorte]],Anzuchtdatenbank!B:I,3,FALSE)</f>
        <v>#N/A</v>
      </c>
      <c r="H30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30" s="1" t="e">
        <f>VLOOKUP(Tabelle13[[#This Row],[Sorte]],Anzuchtdatenbank!B:I,8,FALSE)</f>
        <v>#N/A</v>
      </c>
      <c r="M30" s="1" t="e">
        <f>VLOOKUP(Tabelle13[[#This Row],[Sorte]],Anzuchtdatenbank!B:M,11,FALSE)</f>
        <v>#N/A</v>
      </c>
    </row>
    <row r="31" spans="1:13" ht="31.5" hidden="1" customHeight="1" x14ac:dyDescent="0.25">
      <c r="E31" s="1" t="e">
        <f>VLOOKUP(Tabelle13[[#This Row],[Sorte]],Anzuchtdatenbank!B:M,12,FALSE)</f>
        <v>#N/A</v>
      </c>
      <c r="F31" s="1" t="e">
        <f>VLOOKUP(Tabelle13[[#This Row],[Sorte]],Datenbank[[Sorte]:[Anzucht-Zeit]],2,FALSE)</f>
        <v>#N/A</v>
      </c>
      <c r="G31" s="1" t="e">
        <f>VLOOKUP(Tabelle13[[#This Row],[Sorte]],Anzuchtdatenbank!B:I,3,FALSE)</f>
        <v>#N/A</v>
      </c>
      <c r="H31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31" s="1" t="e">
        <f>VLOOKUP(Tabelle13[[#This Row],[Sorte]],Anzuchtdatenbank!B:I,8,FALSE)</f>
        <v>#N/A</v>
      </c>
      <c r="M31" s="1" t="e">
        <f>VLOOKUP(Tabelle13[[#This Row],[Sorte]],Anzuchtdatenbank!B:M,11,FALSE)</f>
        <v>#N/A</v>
      </c>
    </row>
    <row r="32" spans="1:13" ht="31.5" hidden="1" customHeight="1" x14ac:dyDescent="0.25">
      <c r="E32" s="1" t="e">
        <f>VLOOKUP(Tabelle13[[#This Row],[Sorte]],Anzuchtdatenbank!B:M,12,FALSE)</f>
        <v>#N/A</v>
      </c>
      <c r="F32" s="1" t="e">
        <f>VLOOKUP(Tabelle13[[#This Row],[Sorte]],Datenbank[[Sorte]:[Anzucht-Zeit]],2,FALSE)</f>
        <v>#N/A</v>
      </c>
      <c r="G32" s="1" t="e">
        <f>VLOOKUP(Tabelle13[[#This Row],[Sorte]],Anzuchtdatenbank!B:I,3,FALSE)</f>
        <v>#N/A</v>
      </c>
      <c r="H32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32" s="1" t="e">
        <f>VLOOKUP(Tabelle13[[#This Row],[Sorte]],Anzuchtdatenbank!B:I,8,FALSE)</f>
        <v>#N/A</v>
      </c>
      <c r="M32" s="1" t="e">
        <f>VLOOKUP(Tabelle13[[#This Row],[Sorte]],Anzuchtdatenbank!B:M,11,FALSE)</f>
        <v>#N/A</v>
      </c>
    </row>
    <row r="33" spans="5:13" ht="31.5" hidden="1" customHeight="1" x14ac:dyDescent="0.25">
      <c r="E33" s="1" t="e">
        <f>VLOOKUP(Tabelle13[[#This Row],[Sorte]],Anzuchtdatenbank!B:M,12,FALSE)</f>
        <v>#N/A</v>
      </c>
      <c r="F33" s="1" t="e">
        <f>VLOOKUP(Tabelle13[[#This Row],[Sorte]],Datenbank[[Sorte]:[Anzucht-Zeit]],2,FALSE)</f>
        <v>#N/A</v>
      </c>
      <c r="G33" s="1" t="e">
        <f>VLOOKUP(Tabelle13[[#This Row],[Sorte]],Anzuchtdatenbank!B:I,3,FALSE)</f>
        <v>#N/A</v>
      </c>
      <c r="H33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33" s="1" t="e">
        <f>VLOOKUP(Tabelle13[[#This Row],[Sorte]],Anzuchtdatenbank!B:I,8,FALSE)</f>
        <v>#N/A</v>
      </c>
      <c r="M33" s="1" t="e">
        <f>VLOOKUP(Tabelle13[[#This Row],[Sorte]],Anzuchtdatenbank!B:M,11,FALSE)</f>
        <v>#N/A</v>
      </c>
    </row>
    <row r="34" spans="5:13" ht="31.5" hidden="1" customHeight="1" x14ac:dyDescent="0.25">
      <c r="E34" s="1" t="e">
        <f>VLOOKUP(Tabelle13[[#This Row],[Sorte]],Anzuchtdatenbank!B:M,12,FALSE)</f>
        <v>#N/A</v>
      </c>
      <c r="F34" s="1" t="e">
        <f>VLOOKUP(Tabelle13[[#This Row],[Sorte]],Datenbank[[Sorte]:[Anzucht-Zeit]],2,FALSE)</f>
        <v>#N/A</v>
      </c>
      <c r="G34" s="1" t="e">
        <f>VLOOKUP(Tabelle13[[#This Row],[Sorte]],Anzuchtdatenbank!B:I,3,FALSE)</f>
        <v>#N/A</v>
      </c>
      <c r="H34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34" s="1" t="e">
        <f>VLOOKUP(Tabelle13[[#This Row],[Sorte]],Anzuchtdatenbank!B:I,8,FALSE)</f>
        <v>#N/A</v>
      </c>
      <c r="M34" s="1" t="e">
        <f>VLOOKUP(Tabelle13[[#This Row],[Sorte]],Anzuchtdatenbank!B:M,11,FALSE)</f>
        <v>#N/A</v>
      </c>
    </row>
    <row r="35" spans="5:13" ht="31.5" hidden="1" customHeight="1" x14ac:dyDescent="0.25">
      <c r="E35" s="1" t="e">
        <f>VLOOKUP(Tabelle13[[#This Row],[Sorte]],Anzuchtdatenbank!B:M,12,FALSE)</f>
        <v>#N/A</v>
      </c>
      <c r="F35" s="1" t="e">
        <f>VLOOKUP(Tabelle13[[#This Row],[Sorte]],Datenbank[[Sorte]:[Anzucht-Zeit]],2,FALSE)</f>
        <v>#N/A</v>
      </c>
      <c r="G35" s="1" t="e">
        <f>VLOOKUP(Tabelle13[[#This Row],[Sorte]],Anzuchtdatenbank!B:I,3,FALSE)</f>
        <v>#N/A</v>
      </c>
      <c r="H35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35" s="1" t="e">
        <f>VLOOKUP(Tabelle13[[#This Row],[Sorte]],Anzuchtdatenbank!B:I,8,FALSE)</f>
        <v>#N/A</v>
      </c>
      <c r="M35" s="1" t="e">
        <f>VLOOKUP(Tabelle13[[#This Row],[Sorte]],Anzuchtdatenbank!B:M,11,FALSE)</f>
        <v>#N/A</v>
      </c>
    </row>
    <row r="36" spans="5:13" ht="31.5" hidden="1" customHeight="1" x14ac:dyDescent="0.25">
      <c r="E36" s="1" t="e">
        <f>VLOOKUP(Tabelle13[[#This Row],[Sorte]],Anzuchtdatenbank!B:M,12,FALSE)</f>
        <v>#N/A</v>
      </c>
      <c r="F36" s="1" t="e">
        <f>VLOOKUP(Tabelle13[[#This Row],[Sorte]],Datenbank[[Sorte]:[Anzucht-Zeit]],2,FALSE)</f>
        <v>#N/A</v>
      </c>
      <c r="G36" s="1" t="e">
        <f>VLOOKUP(Tabelle13[[#This Row],[Sorte]],Anzuchtdatenbank!B:I,3,FALSE)</f>
        <v>#N/A</v>
      </c>
      <c r="H36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36" s="1" t="e">
        <f>VLOOKUP(Tabelle13[[#This Row],[Sorte]],Anzuchtdatenbank!B:I,8,FALSE)</f>
        <v>#N/A</v>
      </c>
      <c r="M36" s="1" t="e">
        <f>VLOOKUP(Tabelle13[[#This Row],[Sorte]],Anzuchtdatenbank!B:M,11,FALSE)</f>
        <v>#N/A</v>
      </c>
    </row>
    <row r="37" spans="5:13" ht="31.5" hidden="1" customHeight="1" x14ac:dyDescent="0.25">
      <c r="E37" s="1" t="e">
        <f>VLOOKUP(Tabelle13[[#This Row],[Sorte]],Anzuchtdatenbank!B:M,12,FALSE)</f>
        <v>#N/A</v>
      </c>
      <c r="F37" s="1" t="e">
        <f>VLOOKUP(Tabelle13[[#This Row],[Sorte]],Datenbank[[Sorte]:[Anzucht-Zeit]],2,FALSE)</f>
        <v>#N/A</v>
      </c>
      <c r="G37" s="1" t="e">
        <f>VLOOKUP(Tabelle13[[#This Row],[Sorte]],Anzuchtdatenbank!B:I,3,FALSE)</f>
        <v>#N/A</v>
      </c>
      <c r="H37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37" s="1" t="e">
        <f>VLOOKUP(Tabelle13[[#This Row],[Sorte]],Anzuchtdatenbank!B:I,8,FALSE)</f>
        <v>#N/A</v>
      </c>
      <c r="M37" s="1" t="e">
        <f>VLOOKUP(Tabelle13[[#This Row],[Sorte]],Anzuchtdatenbank!B:M,11,FALSE)</f>
        <v>#N/A</v>
      </c>
    </row>
    <row r="38" spans="5:13" ht="31.5" hidden="1" customHeight="1" x14ac:dyDescent="0.25">
      <c r="E38" s="1" t="e">
        <f>VLOOKUP(Tabelle13[[#This Row],[Sorte]],Anzuchtdatenbank!B:M,12,FALSE)</f>
        <v>#N/A</v>
      </c>
      <c r="F38" s="1" t="e">
        <f>VLOOKUP(Tabelle13[[#This Row],[Sorte]],Datenbank[[Sorte]:[Anzucht-Zeit]],2,FALSE)</f>
        <v>#N/A</v>
      </c>
      <c r="G38" s="1" t="e">
        <f>VLOOKUP(Tabelle13[[#This Row],[Sorte]],Anzuchtdatenbank!B:I,3,FALSE)</f>
        <v>#N/A</v>
      </c>
      <c r="H38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38" s="1" t="e">
        <f>VLOOKUP(Tabelle13[[#This Row],[Sorte]],Anzuchtdatenbank!B:I,8,FALSE)</f>
        <v>#N/A</v>
      </c>
      <c r="M38" s="1" t="e">
        <f>VLOOKUP(Tabelle13[[#This Row],[Sorte]],Anzuchtdatenbank!B:M,11,FALSE)</f>
        <v>#N/A</v>
      </c>
    </row>
    <row r="39" spans="5:13" ht="31.5" hidden="1" customHeight="1" x14ac:dyDescent="0.25">
      <c r="E39" s="1" t="e">
        <f>VLOOKUP(Tabelle13[[#This Row],[Sorte]],Anzuchtdatenbank!B:M,12,FALSE)</f>
        <v>#N/A</v>
      </c>
      <c r="F39" s="1" t="e">
        <f>VLOOKUP(Tabelle13[[#This Row],[Sorte]],Datenbank[[Sorte]:[Anzucht-Zeit]],2,FALSE)</f>
        <v>#N/A</v>
      </c>
      <c r="G39" s="1" t="e">
        <f>VLOOKUP(Tabelle13[[#This Row],[Sorte]],Anzuchtdatenbank!B:I,3,FALSE)</f>
        <v>#N/A</v>
      </c>
      <c r="H39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39" s="1" t="e">
        <f>VLOOKUP(Tabelle13[[#This Row],[Sorte]],Anzuchtdatenbank!B:I,8,FALSE)</f>
        <v>#N/A</v>
      </c>
      <c r="M39" s="1" t="e">
        <f>VLOOKUP(Tabelle13[[#This Row],[Sorte]],Anzuchtdatenbank!B:M,11,FALSE)</f>
        <v>#N/A</v>
      </c>
    </row>
    <row r="40" spans="5:13" ht="31.5" hidden="1" customHeight="1" x14ac:dyDescent="0.25">
      <c r="E40" s="1" t="e">
        <f>VLOOKUP(Tabelle13[[#This Row],[Sorte]],Anzuchtdatenbank!B:M,12,FALSE)</f>
        <v>#N/A</v>
      </c>
      <c r="F40" s="1" t="e">
        <f>VLOOKUP(Tabelle13[[#This Row],[Sorte]],Datenbank[[Sorte]:[Anzucht-Zeit]],2,FALSE)</f>
        <v>#N/A</v>
      </c>
      <c r="G40" s="1" t="e">
        <f>VLOOKUP(Tabelle13[[#This Row],[Sorte]],Anzuchtdatenbank!B:I,3,FALSE)</f>
        <v>#N/A</v>
      </c>
      <c r="H40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40" s="1" t="e">
        <f>VLOOKUP(Tabelle13[[#This Row],[Sorte]],Anzuchtdatenbank!B:I,8,FALSE)</f>
        <v>#N/A</v>
      </c>
      <c r="M40" s="1" t="e">
        <f>VLOOKUP(Tabelle13[[#This Row],[Sorte]],Anzuchtdatenbank!B:M,11,FALSE)</f>
        <v>#N/A</v>
      </c>
    </row>
    <row r="41" spans="5:13" ht="31.5" hidden="1" customHeight="1" x14ac:dyDescent="0.25">
      <c r="E41" s="1" t="e">
        <f>VLOOKUP(Tabelle13[[#This Row],[Sorte]],Anzuchtdatenbank!B:M,12,FALSE)</f>
        <v>#N/A</v>
      </c>
      <c r="F41" s="1" t="e">
        <f>VLOOKUP(Tabelle13[[#This Row],[Sorte]],Datenbank[[Sorte]:[Anzucht-Zeit]],2,FALSE)</f>
        <v>#N/A</v>
      </c>
      <c r="G41" s="1" t="e">
        <f>VLOOKUP(Tabelle13[[#This Row],[Sorte]],Anzuchtdatenbank!B:I,3,FALSE)</f>
        <v>#N/A</v>
      </c>
      <c r="H41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41" s="1" t="e">
        <f>VLOOKUP(Tabelle13[[#This Row],[Sorte]],Anzuchtdatenbank!B:I,8,FALSE)</f>
        <v>#N/A</v>
      </c>
      <c r="M41" s="1" t="e">
        <f>VLOOKUP(Tabelle13[[#This Row],[Sorte]],Anzuchtdatenbank!B:M,11,FALSE)</f>
        <v>#N/A</v>
      </c>
    </row>
    <row r="42" spans="5:13" ht="31.5" hidden="1" customHeight="1" x14ac:dyDescent="0.25">
      <c r="E42" s="1" t="e">
        <f>VLOOKUP(Tabelle13[[#This Row],[Sorte]],Anzuchtdatenbank!B:M,12,FALSE)</f>
        <v>#N/A</v>
      </c>
      <c r="F42" s="1" t="e">
        <f>VLOOKUP(Tabelle13[[#This Row],[Sorte]],Datenbank[[Sorte]:[Anzucht-Zeit]],2,FALSE)</f>
        <v>#N/A</v>
      </c>
      <c r="G42" s="1" t="e">
        <f>VLOOKUP(Tabelle13[[#This Row],[Sorte]],Anzuchtdatenbank!B:I,3,FALSE)</f>
        <v>#N/A</v>
      </c>
      <c r="H42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42" s="1" t="e">
        <f>VLOOKUP(Tabelle13[[#This Row],[Sorte]],Anzuchtdatenbank!B:I,8,FALSE)</f>
        <v>#N/A</v>
      </c>
      <c r="M42" s="1" t="e">
        <f>VLOOKUP(Tabelle13[[#This Row],[Sorte]],Anzuchtdatenbank!B:M,11,FALSE)</f>
        <v>#N/A</v>
      </c>
    </row>
    <row r="43" spans="5:13" ht="31.5" hidden="1" customHeight="1" x14ac:dyDescent="0.25">
      <c r="E43" s="1" t="e">
        <f>VLOOKUP(Tabelle13[[#This Row],[Sorte]],Anzuchtdatenbank!B:M,12,FALSE)</f>
        <v>#N/A</v>
      </c>
      <c r="F43" s="1" t="e">
        <f>VLOOKUP(Tabelle13[[#This Row],[Sorte]],Datenbank[[Sorte]:[Anzucht-Zeit]],2,FALSE)</f>
        <v>#N/A</v>
      </c>
      <c r="G43" s="1" t="e">
        <f>VLOOKUP(Tabelle13[[#This Row],[Sorte]],Anzuchtdatenbank!B:I,3,FALSE)</f>
        <v>#N/A</v>
      </c>
      <c r="H43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43" s="1" t="e">
        <f>VLOOKUP(Tabelle13[[#This Row],[Sorte]],Anzuchtdatenbank!B:I,8,FALSE)</f>
        <v>#N/A</v>
      </c>
      <c r="M43" s="1" t="e">
        <f>VLOOKUP(Tabelle13[[#This Row],[Sorte]],Anzuchtdatenbank!B:M,11,FALSE)</f>
        <v>#N/A</v>
      </c>
    </row>
    <row r="44" spans="5:13" ht="31.5" hidden="1" customHeight="1" x14ac:dyDescent="0.25">
      <c r="E44" s="1" t="e">
        <f>VLOOKUP(Tabelle13[[#This Row],[Sorte]],Anzuchtdatenbank!B:M,12,FALSE)</f>
        <v>#N/A</v>
      </c>
      <c r="F44" s="1" t="e">
        <f>VLOOKUP(Tabelle13[[#This Row],[Sorte]],Datenbank[[Sorte]:[Anzucht-Zeit]],2,FALSE)</f>
        <v>#N/A</v>
      </c>
      <c r="G44" s="1" t="e">
        <f>VLOOKUP(Tabelle13[[#This Row],[Sorte]],Anzuchtdatenbank!B:I,3,FALSE)</f>
        <v>#N/A</v>
      </c>
      <c r="H44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44" s="1" t="e">
        <f>VLOOKUP(Tabelle13[[#This Row],[Sorte]],Anzuchtdatenbank!B:I,8,FALSE)</f>
        <v>#N/A</v>
      </c>
      <c r="M44" s="1" t="e">
        <f>VLOOKUP(Tabelle13[[#This Row],[Sorte]],Anzuchtdatenbank!B:M,11,FALSE)</f>
        <v>#N/A</v>
      </c>
    </row>
    <row r="45" spans="5:13" ht="31.5" hidden="1" customHeight="1" x14ac:dyDescent="0.25">
      <c r="E45" s="1" t="e">
        <f>VLOOKUP(Tabelle13[[#This Row],[Sorte]],Anzuchtdatenbank!B:M,12,FALSE)</f>
        <v>#N/A</v>
      </c>
      <c r="F45" s="1" t="e">
        <f>VLOOKUP(Tabelle13[[#This Row],[Sorte]],Datenbank[[Sorte]:[Anzucht-Zeit]],2,FALSE)</f>
        <v>#N/A</v>
      </c>
      <c r="G45" s="1" t="e">
        <f>VLOOKUP(Tabelle13[[#This Row],[Sorte]],Anzuchtdatenbank!B:I,3,FALSE)</f>
        <v>#N/A</v>
      </c>
      <c r="H45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45" s="1" t="e">
        <f>VLOOKUP(Tabelle13[[#This Row],[Sorte]],Anzuchtdatenbank!B:I,8,FALSE)</f>
        <v>#N/A</v>
      </c>
      <c r="M45" s="1" t="e">
        <f>VLOOKUP(Tabelle13[[#This Row],[Sorte]],Anzuchtdatenbank!B:M,11,FALSE)</f>
        <v>#N/A</v>
      </c>
    </row>
    <row r="46" spans="5:13" ht="31.5" hidden="1" customHeight="1" x14ac:dyDescent="0.25">
      <c r="E46" s="1" t="e">
        <f>VLOOKUP(Tabelle13[[#This Row],[Sorte]],Anzuchtdatenbank!B:M,12,FALSE)</f>
        <v>#N/A</v>
      </c>
      <c r="F46" s="1" t="e">
        <f>VLOOKUP(Tabelle13[[#This Row],[Sorte]],Datenbank[[Sorte]:[Anzucht-Zeit]],2,FALSE)</f>
        <v>#N/A</v>
      </c>
      <c r="G46" s="1" t="e">
        <f>VLOOKUP(Tabelle13[[#This Row],[Sorte]],Anzuchtdatenbank!B:I,3,FALSE)</f>
        <v>#N/A</v>
      </c>
      <c r="H46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46" s="1" t="e">
        <f>VLOOKUP(Tabelle13[[#This Row],[Sorte]],Anzuchtdatenbank!B:I,8,FALSE)</f>
        <v>#N/A</v>
      </c>
      <c r="M46" s="1" t="e">
        <f>VLOOKUP(Tabelle13[[#This Row],[Sorte]],Anzuchtdatenbank!B:M,11,FALSE)</f>
        <v>#N/A</v>
      </c>
    </row>
    <row r="47" spans="5:13" ht="31.5" hidden="1" customHeight="1" x14ac:dyDescent="0.25">
      <c r="E47" s="1" t="e">
        <f>VLOOKUP(Tabelle13[[#This Row],[Sorte]],Anzuchtdatenbank!B:M,12,FALSE)</f>
        <v>#N/A</v>
      </c>
      <c r="F47" s="1" t="e">
        <f>VLOOKUP(Tabelle13[[#This Row],[Sorte]],Datenbank[[Sorte]:[Anzucht-Zeit]],2,FALSE)</f>
        <v>#N/A</v>
      </c>
      <c r="G47" s="1" t="e">
        <f>VLOOKUP(Tabelle13[[#This Row],[Sorte]],Anzuchtdatenbank!B:I,3,FALSE)</f>
        <v>#N/A</v>
      </c>
      <c r="H47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47" s="1" t="e">
        <f>VLOOKUP(Tabelle13[[#This Row],[Sorte]],Anzuchtdatenbank!B:I,8,FALSE)</f>
        <v>#N/A</v>
      </c>
      <c r="M47" s="1" t="e">
        <f>VLOOKUP(Tabelle13[[#This Row],[Sorte]],Anzuchtdatenbank!B:M,11,FALSE)</f>
        <v>#N/A</v>
      </c>
    </row>
    <row r="48" spans="5:13" ht="31.5" hidden="1" customHeight="1" x14ac:dyDescent="0.25">
      <c r="E48" s="1" t="e">
        <f>VLOOKUP(Tabelle13[[#This Row],[Sorte]],Anzuchtdatenbank!B:M,12,FALSE)</f>
        <v>#N/A</v>
      </c>
      <c r="F48" s="1" t="e">
        <f>VLOOKUP(Tabelle13[[#This Row],[Sorte]],Datenbank[[Sorte]:[Anzucht-Zeit]],2,FALSE)</f>
        <v>#N/A</v>
      </c>
      <c r="G48" s="1" t="e">
        <f>VLOOKUP(Tabelle13[[#This Row],[Sorte]],Anzuchtdatenbank!B:I,3,FALSE)</f>
        <v>#N/A</v>
      </c>
      <c r="H48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48" s="1" t="e">
        <f>VLOOKUP(Tabelle13[[#This Row],[Sorte]],Anzuchtdatenbank!B:I,8,FALSE)</f>
        <v>#N/A</v>
      </c>
      <c r="M48" s="1" t="e">
        <f>VLOOKUP(Tabelle13[[#This Row],[Sorte]],Anzuchtdatenbank!B:M,11,FALSE)</f>
        <v>#N/A</v>
      </c>
    </row>
    <row r="49" spans="5:13" ht="31.5" hidden="1" customHeight="1" x14ac:dyDescent="0.25">
      <c r="E49" s="1" t="e">
        <f>VLOOKUP(Tabelle13[[#This Row],[Sorte]],Anzuchtdatenbank!B:M,12,FALSE)</f>
        <v>#N/A</v>
      </c>
      <c r="F49" s="1" t="e">
        <f>VLOOKUP(Tabelle13[[#This Row],[Sorte]],Datenbank[[Sorte]:[Anzucht-Zeit]],2,FALSE)</f>
        <v>#N/A</v>
      </c>
      <c r="G49" s="1" t="e">
        <f>VLOOKUP(Tabelle13[[#This Row],[Sorte]],Anzuchtdatenbank!B:I,3,FALSE)</f>
        <v>#N/A</v>
      </c>
      <c r="H49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49" s="1" t="e">
        <f>VLOOKUP(Tabelle13[[#This Row],[Sorte]],Anzuchtdatenbank!B:I,8,FALSE)</f>
        <v>#N/A</v>
      </c>
      <c r="M49" s="1" t="e">
        <f>VLOOKUP(Tabelle13[[#This Row],[Sorte]],Anzuchtdatenbank!B:M,11,FALSE)</f>
        <v>#N/A</v>
      </c>
    </row>
    <row r="50" spans="5:13" ht="31.5" hidden="1" customHeight="1" x14ac:dyDescent="0.25">
      <c r="E50" s="1" t="e">
        <f>VLOOKUP(Tabelle13[[#This Row],[Sorte]],Anzuchtdatenbank!B:M,12,FALSE)</f>
        <v>#N/A</v>
      </c>
      <c r="F50" s="1" t="e">
        <f>VLOOKUP(Tabelle13[[#This Row],[Sorte]],Datenbank[[Sorte]:[Anzucht-Zeit]],2,FALSE)</f>
        <v>#N/A</v>
      </c>
      <c r="G50" s="1" t="e">
        <f>VLOOKUP(Tabelle13[[#This Row],[Sorte]],Anzuchtdatenbank!B:I,3,FALSE)</f>
        <v>#N/A</v>
      </c>
      <c r="H50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50" s="1" t="e">
        <f>VLOOKUP(Tabelle13[[#This Row],[Sorte]],Anzuchtdatenbank!B:I,8,FALSE)</f>
        <v>#N/A</v>
      </c>
      <c r="M50" s="1" t="e">
        <f>VLOOKUP(Tabelle13[[#This Row],[Sorte]],Anzuchtdatenbank!B:M,11,FALSE)</f>
        <v>#N/A</v>
      </c>
    </row>
    <row r="51" spans="5:13" ht="31.5" hidden="1" customHeight="1" x14ac:dyDescent="0.25">
      <c r="E51" s="1" t="e">
        <f>VLOOKUP(Tabelle13[[#This Row],[Sorte]],Anzuchtdatenbank!B:M,12,FALSE)</f>
        <v>#N/A</v>
      </c>
      <c r="F51" s="1" t="e">
        <f>VLOOKUP(Tabelle13[[#This Row],[Sorte]],Datenbank[[Sorte]:[Anzucht-Zeit]],2,FALSE)</f>
        <v>#N/A</v>
      </c>
      <c r="G51" s="1" t="e">
        <f>VLOOKUP(Tabelle13[[#This Row],[Sorte]],Anzuchtdatenbank!B:I,3,FALSE)</f>
        <v>#N/A</v>
      </c>
      <c r="H51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51" s="1" t="e">
        <f>VLOOKUP(Tabelle13[[#This Row],[Sorte]],Anzuchtdatenbank!B:I,8,FALSE)</f>
        <v>#N/A</v>
      </c>
      <c r="M51" s="1" t="e">
        <f>VLOOKUP(Tabelle13[[#This Row],[Sorte]],Anzuchtdatenbank!B:M,11,FALSE)</f>
        <v>#N/A</v>
      </c>
    </row>
    <row r="52" spans="5:13" ht="31.5" hidden="1" customHeight="1" x14ac:dyDescent="0.25">
      <c r="E52" s="1" t="e">
        <f>VLOOKUP(Tabelle13[[#This Row],[Sorte]],Anzuchtdatenbank!B:M,12,FALSE)</f>
        <v>#N/A</v>
      </c>
      <c r="F52" s="1" t="e">
        <f>VLOOKUP(Tabelle13[[#This Row],[Sorte]],Datenbank[[Sorte]:[Anzucht-Zeit]],2,FALSE)</f>
        <v>#N/A</v>
      </c>
      <c r="G52" s="1" t="e">
        <f>VLOOKUP(Tabelle13[[#This Row],[Sorte]],Anzuchtdatenbank!B:I,3,FALSE)</f>
        <v>#N/A</v>
      </c>
      <c r="H52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52" s="1" t="e">
        <f>VLOOKUP(Tabelle13[[#This Row],[Sorte]],Anzuchtdatenbank!B:I,8,FALSE)</f>
        <v>#N/A</v>
      </c>
      <c r="M52" s="1" t="e">
        <f>VLOOKUP(Tabelle13[[#This Row],[Sorte]],Anzuchtdatenbank!B:M,11,FALSE)</f>
        <v>#N/A</v>
      </c>
    </row>
    <row r="53" spans="5:13" ht="31.5" hidden="1" customHeight="1" x14ac:dyDescent="0.25">
      <c r="E53" s="1" t="e">
        <f>VLOOKUP(Tabelle13[[#This Row],[Sorte]],Anzuchtdatenbank!B:M,12,FALSE)</f>
        <v>#N/A</v>
      </c>
      <c r="F53" s="1" t="e">
        <f>VLOOKUP(Tabelle13[[#This Row],[Sorte]],Datenbank[[Sorte]:[Anzucht-Zeit]],2,FALSE)</f>
        <v>#N/A</v>
      </c>
      <c r="G53" s="1" t="e">
        <f>VLOOKUP(Tabelle13[[#This Row],[Sorte]],Anzuchtdatenbank!B:I,3,FALSE)</f>
        <v>#N/A</v>
      </c>
      <c r="H53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53" s="1" t="e">
        <f>VLOOKUP(Tabelle13[[#This Row],[Sorte]],Anzuchtdatenbank!B:I,8,FALSE)</f>
        <v>#N/A</v>
      </c>
      <c r="M53" s="1" t="e">
        <f>VLOOKUP(Tabelle13[[#This Row],[Sorte]],Anzuchtdatenbank!B:M,11,FALSE)</f>
        <v>#N/A</v>
      </c>
    </row>
    <row r="54" spans="5:13" ht="31.5" hidden="1" customHeight="1" x14ac:dyDescent="0.25">
      <c r="E54" s="1" t="e">
        <f>VLOOKUP(Tabelle13[[#This Row],[Sorte]],Anzuchtdatenbank!B:M,12,FALSE)</f>
        <v>#N/A</v>
      </c>
      <c r="F54" s="1" t="e">
        <f>VLOOKUP(Tabelle13[[#This Row],[Sorte]],Datenbank[[Sorte]:[Anzucht-Zeit]],2,FALSE)</f>
        <v>#N/A</v>
      </c>
      <c r="G54" s="1" t="e">
        <f>VLOOKUP(Tabelle13[[#This Row],[Sorte]],Anzuchtdatenbank!B:I,3,FALSE)</f>
        <v>#N/A</v>
      </c>
      <c r="H54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54" s="1" t="e">
        <f>VLOOKUP(Tabelle13[[#This Row],[Sorte]],Anzuchtdatenbank!B:I,8,FALSE)</f>
        <v>#N/A</v>
      </c>
      <c r="M54" s="1" t="e">
        <f>VLOOKUP(Tabelle13[[#This Row],[Sorte]],Anzuchtdatenbank!B:M,11,FALSE)</f>
        <v>#N/A</v>
      </c>
    </row>
    <row r="55" spans="5:13" ht="31.5" hidden="1" customHeight="1" x14ac:dyDescent="0.25">
      <c r="E55" s="1" t="e">
        <f>VLOOKUP(Tabelle13[[#This Row],[Sorte]],Anzuchtdatenbank!B:M,12,FALSE)</f>
        <v>#N/A</v>
      </c>
      <c r="F55" s="1" t="e">
        <f>VLOOKUP(Tabelle13[[#This Row],[Sorte]],Datenbank[[Sorte]:[Anzucht-Zeit]],2,FALSE)</f>
        <v>#N/A</v>
      </c>
      <c r="G55" s="1" t="e">
        <f>VLOOKUP(Tabelle13[[#This Row],[Sorte]],Anzuchtdatenbank!B:I,3,FALSE)</f>
        <v>#N/A</v>
      </c>
      <c r="H55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55" s="1" t="e">
        <f>VLOOKUP(Tabelle13[[#This Row],[Sorte]],Anzuchtdatenbank!B:I,8,FALSE)</f>
        <v>#N/A</v>
      </c>
      <c r="M55" s="1" t="e">
        <f>VLOOKUP(Tabelle13[[#This Row],[Sorte]],Anzuchtdatenbank!B:M,11,FALSE)</f>
        <v>#N/A</v>
      </c>
    </row>
    <row r="56" spans="5:13" ht="31.5" hidden="1" customHeight="1" x14ac:dyDescent="0.25">
      <c r="E56" s="1" t="e">
        <f>VLOOKUP(Tabelle13[[#This Row],[Sorte]],Anzuchtdatenbank!B:M,12,FALSE)</f>
        <v>#N/A</v>
      </c>
      <c r="F56" s="1" t="e">
        <f>VLOOKUP(Tabelle13[[#This Row],[Sorte]],Datenbank[[Sorte]:[Anzucht-Zeit]],2,FALSE)</f>
        <v>#N/A</v>
      </c>
      <c r="G56" s="1" t="e">
        <f>VLOOKUP(Tabelle13[[#This Row],[Sorte]],Anzuchtdatenbank!B:I,3,FALSE)</f>
        <v>#N/A</v>
      </c>
      <c r="H56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56" s="1" t="e">
        <f>VLOOKUP(Tabelle13[[#This Row],[Sorte]],Anzuchtdatenbank!B:I,8,FALSE)</f>
        <v>#N/A</v>
      </c>
      <c r="M56" s="1" t="e">
        <f>VLOOKUP(Tabelle13[[#This Row],[Sorte]],Anzuchtdatenbank!B:M,11,FALSE)</f>
        <v>#N/A</v>
      </c>
    </row>
    <row r="57" spans="5:13" ht="31.5" hidden="1" customHeight="1" x14ac:dyDescent="0.25">
      <c r="E57" s="1" t="e">
        <f>VLOOKUP(Tabelle13[[#This Row],[Sorte]],Anzuchtdatenbank!B:M,12,FALSE)</f>
        <v>#N/A</v>
      </c>
      <c r="F57" s="1" t="e">
        <f>VLOOKUP(Tabelle13[[#This Row],[Sorte]],Datenbank[[Sorte]:[Anzucht-Zeit]],2,FALSE)</f>
        <v>#N/A</v>
      </c>
      <c r="G57" s="1" t="e">
        <f>VLOOKUP(Tabelle13[[#This Row],[Sorte]],Anzuchtdatenbank!B:I,3,FALSE)</f>
        <v>#N/A</v>
      </c>
      <c r="H57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57" s="1" t="e">
        <f>VLOOKUP(Tabelle13[[#This Row],[Sorte]],Anzuchtdatenbank!B:I,8,FALSE)</f>
        <v>#N/A</v>
      </c>
      <c r="M57" s="1" t="e">
        <f>VLOOKUP(Tabelle13[[#This Row],[Sorte]],Anzuchtdatenbank!B:M,11,FALSE)</f>
        <v>#N/A</v>
      </c>
    </row>
    <row r="58" spans="5:13" ht="31.5" hidden="1" customHeight="1" x14ac:dyDescent="0.25">
      <c r="E58" s="1" t="e">
        <f>VLOOKUP(Tabelle13[[#This Row],[Sorte]],Anzuchtdatenbank!B:M,12,FALSE)</f>
        <v>#N/A</v>
      </c>
      <c r="F58" s="1" t="e">
        <f>VLOOKUP(Tabelle13[[#This Row],[Sorte]],Datenbank[[Sorte]:[Anzucht-Zeit]],2,FALSE)</f>
        <v>#N/A</v>
      </c>
      <c r="G58" s="1" t="e">
        <f>VLOOKUP(Tabelle13[[#This Row],[Sorte]],Anzuchtdatenbank!B:I,3,FALSE)</f>
        <v>#N/A</v>
      </c>
      <c r="H58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58" s="1" t="e">
        <f>VLOOKUP(Tabelle13[[#This Row],[Sorte]],Anzuchtdatenbank!B:I,8,FALSE)</f>
        <v>#N/A</v>
      </c>
      <c r="M58" s="1" t="e">
        <f>VLOOKUP(Tabelle13[[#This Row],[Sorte]],Anzuchtdatenbank!B:M,11,FALSE)</f>
        <v>#N/A</v>
      </c>
    </row>
    <row r="59" spans="5:13" ht="31.5" hidden="1" customHeight="1" x14ac:dyDescent="0.25">
      <c r="E59" s="1" t="e">
        <f>VLOOKUP(Tabelle13[[#This Row],[Sorte]],Anzuchtdatenbank!B:M,12,FALSE)</f>
        <v>#N/A</v>
      </c>
      <c r="F59" s="1" t="e">
        <f>VLOOKUP(Tabelle13[[#This Row],[Sorte]],Datenbank[[Sorte]:[Anzucht-Zeit]],2,FALSE)</f>
        <v>#N/A</v>
      </c>
      <c r="G59" s="1" t="e">
        <f>VLOOKUP(Tabelle13[[#This Row],[Sorte]],Anzuchtdatenbank!B:I,3,FALSE)</f>
        <v>#N/A</v>
      </c>
      <c r="H59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59" s="1" t="e">
        <f>VLOOKUP(Tabelle13[[#This Row],[Sorte]],Anzuchtdatenbank!B:I,8,FALSE)</f>
        <v>#N/A</v>
      </c>
      <c r="M59" s="1" t="e">
        <f>VLOOKUP(Tabelle13[[#This Row],[Sorte]],Anzuchtdatenbank!B:M,11,FALSE)</f>
        <v>#N/A</v>
      </c>
    </row>
    <row r="60" spans="5:13" ht="31.5" hidden="1" customHeight="1" x14ac:dyDescent="0.25">
      <c r="E60" s="1" t="e">
        <f>VLOOKUP(Tabelle13[[#This Row],[Sorte]],Anzuchtdatenbank!B:M,12,FALSE)</f>
        <v>#N/A</v>
      </c>
      <c r="F60" s="1" t="e">
        <f>VLOOKUP(Tabelle13[[#This Row],[Sorte]],Datenbank[[Sorte]:[Anzucht-Zeit]],2,FALSE)</f>
        <v>#N/A</v>
      </c>
      <c r="G60" s="1" t="e">
        <f>VLOOKUP(Tabelle13[[#This Row],[Sorte]],Anzuchtdatenbank!B:I,3,FALSE)</f>
        <v>#N/A</v>
      </c>
      <c r="H60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60" s="1" t="e">
        <f>VLOOKUP(Tabelle13[[#This Row],[Sorte]],Anzuchtdatenbank!B:I,8,FALSE)</f>
        <v>#N/A</v>
      </c>
      <c r="M60" s="1" t="e">
        <f>VLOOKUP(Tabelle13[[#This Row],[Sorte]],Anzuchtdatenbank!B:M,11,FALSE)</f>
        <v>#N/A</v>
      </c>
    </row>
    <row r="61" spans="5:13" ht="31.5" hidden="1" customHeight="1" x14ac:dyDescent="0.25">
      <c r="E61" s="1" t="e">
        <f>VLOOKUP(Tabelle13[[#This Row],[Sorte]],Anzuchtdatenbank!B:M,12,FALSE)</f>
        <v>#N/A</v>
      </c>
      <c r="F61" s="1" t="e">
        <f>VLOOKUP(Tabelle13[[#This Row],[Sorte]],Datenbank[[Sorte]:[Anzucht-Zeit]],2,FALSE)</f>
        <v>#N/A</v>
      </c>
      <c r="G61" s="1" t="e">
        <f>VLOOKUP(Tabelle13[[#This Row],[Sorte]],Anzuchtdatenbank!B:I,3,FALSE)</f>
        <v>#N/A</v>
      </c>
      <c r="H61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61" s="1" t="e">
        <f>VLOOKUP(Tabelle13[[#This Row],[Sorte]],Anzuchtdatenbank!B:I,8,FALSE)</f>
        <v>#N/A</v>
      </c>
      <c r="M61" s="1" t="e">
        <f>VLOOKUP(Tabelle13[[#This Row],[Sorte]],Anzuchtdatenbank!B:M,11,FALSE)</f>
        <v>#N/A</v>
      </c>
    </row>
    <row r="62" spans="5:13" ht="31.5" hidden="1" customHeight="1" x14ac:dyDescent="0.25">
      <c r="E62" s="1" t="e">
        <f>VLOOKUP(Tabelle13[[#This Row],[Sorte]],Anzuchtdatenbank!B:M,12,FALSE)</f>
        <v>#N/A</v>
      </c>
      <c r="F62" s="1" t="e">
        <f>VLOOKUP(Tabelle13[[#This Row],[Sorte]],Datenbank[[Sorte]:[Anzucht-Zeit]],2,FALSE)</f>
        <v>#N/A</v>
      </c>
      <c r="G62" s="1" t="e">
        <f>VLOOKUP(Tabelle13[[#This Row],[Sorte]],Anzuchtdatenbank!B:I,3,FALSE)</f>
        <v>#N/A</v>
      </c>
      <c r="H62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62" s="1" t="e">
        <f>VLOOKUP(Tabelle13[[#This Row],[Sorte]],Anzuchtdatenbank!B:I,8,FALSE)</f>
        <v>#N/A</v>
      </c>
      <c r="M62" s="1" t="e">
        <f>VLOOKUP(Tabelle13[[#This Row],[Sorte]],Anzuchtdatenbank!B:M,11,FALSE)</f>
        <v>#N/A</v>
      </c>
    </row>
    <row r="63" spans="5:13" ht="31.5" hidden="1" customHeight="1" x14ac:dyDescent="0.25">
      <c r="E63" s="1" t="e">
        <f>VLOOKUP(Tabelle13[[#This Row],[Sorte]],Anzuchtdatenbank!B:M,12,FALSE)</f>
        <v>#N/A</v>
      </c>
      <c r="F63" s="1" t="e">
        <f>VLOOKUP(Tabelle13[[#This Row],[Sorte]],Datenbank[[Sorte]:[Anzucht-Zeit]],2,FALSE)</f>
        <v>#N/A</v>
      </c>
      <c r="G63" s="1" t="e">
        <f>VLOOKUP(Tabelle13[[#This Row],[Sorte]],Anzuchtdatenbank!B:I,3,FALSE)</f>
        <v>#N/A</v>
      </c>
      <c r="H63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63" s="1" t="e">
        <f>VLOOKUP(Tabelle13[[#This Row],[Sorte]],Anzuchtdatenbank!B:I,8,FALSE)</f>
        <v>#N/A</v>
      </c>
      <c r="M63" s="1" t="e">
        <f>VLOOKUP(Tabelle13[[#This Row],[Sorte]],Anzuchtdatenbank!B:M,11,FALSE)</f>
        <v>#N/A</v>
      </c>
    </row>
    <row r="64" spans="5:13" ht="31.5" hidden="1" customHeight="1" x14ac:dyDescent="0.25">
      <c r="E64" s="1" t="e">
        <f>VLOOKUP(Tabelle13[[#This Row],[Sorte]],Anzuchtdatenbank!B:M,12,FALSE)</f>
        <v>#N/A</v>
      </c>
      <c r="F64" s="1" t="e">
        <f>VLOOKUP(Tabelle13[[#This Row],[Sorte]],Datenbank[[Sorte]:[Anzucht-Zeit]],2,FALSE)</f>
        <v>#N/A</v>
      </c>
      <c r="G64" s="1" t="e">
        <f>VLOOKUP(Tabelle13[[#This Row],[Sorte]],Anzuchtdatenbank!B:I,3,FALSE)</f>
        <v>#N/A</v>
      </c>
      <c r="H64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64" s="1" t="e">
        <f>VLOOKUP(Tabelle13[[#This Row],[Sorte]],Anzuchtdatenbank!B:I,8,FALSE)</f>
        <v>#N/A</v>
      </c>
      <c r="M64" s="1" t="e">
        <f>VLOOKUP(Tabelle13[[#This Row],[Sorte]],Anzuchtdatenbank!B:M,11,FALSE)</f>
        <v>#N/A</v>
      </c>
    </row>
    <row r="65" spans="5:13" ht="31.5" hidden="1" customHeight="1" x14ac:dyDescent="0.25">
      <c r="E65" s="1" t="e">
        <f>VLOOKUP(Tabelle13[[#This Row],[Sorte]],Anzuchtdatenbank!B:M,12,FALSE)</f>
        <v>#N/A</v>
      </c>
      <c r="F65" s="1" t="e">
        <f>VLOOKUP(Tabelle13[[#This Row],[Sorte]],Datenbank[[Sorte]:[Anzucht-Zeit]],2,FALSE)</f>
        <v>#N/A</v>
      </c>
      <c r="G65" s="1" t="e">
        <f>VLOOKUP(Tabelle13[[#This Row],[Sorte]],Anzuchtdatenbank!B:I,3,FALSE)</f>
        <v>#N/A</v>
      </c>
      <c r="H65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65" s="1" t="e">
        <f>VLOOKUP(Tabelle13[[#This Row],[Sorte]],Anzuchtdatenbank!B:I,8,FALSE)</f>
        <v>#N/A</v>
      </c>
      <c r="M65" s="1" t="e">
        <f>VLOOKUP(Tabelle13[[#This Row],[Sorte]],Anzuchtdatenbank!B:M,11,FALSE)</f>
        <v>#N/A</v>
      </c>
    </row>
    <row r="66" spans="5:13" ht="31.5" hidden="1" customHeight="1" x14ac:dyDescent="0.25">
      <c r="E66" s="1" t="e">
        <f>VLOOKUP(Tabelle13[[#This Row],[Sorte]],Anzuchtdatenbank!B:M,12,FALSE)</f>
        <v>#N/A</v>
      </c>
      <c r="F66" s="1" t="e">
        <f>VLOOKUP(Tabelle13[[#This Row],[Sorte]],Datenbank[[Sorte]:[Anzucht-Zeit]],2,FALSE)</f>
        <v>#N/A</v>
      </c>
      <c r="G66" s="1" t="e">
        <f>VLOOKUP(Tabelle13[[#This Row],[Sorte]],Anzuchtdatenbank!B:I,3,FALSE)</f>
        <v>#N/A</v>
      </c>
      <c r="H66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66" s="1" t="e">
        <f>VLOOKUP(Tabelle13[[#This Row],[Sorte]],Anzuchtdatenbank!B:I,8,FALSE)</f>
        <v>#N/A</v>
      </c>
      <c r="M66" s="1" t="e">
        <f>VLOOKUP(Tabelle13[[#This Row],[Sorte]],Anzuchtdatenbank!B:M,11,FALSE)</f>
        <v>#N/A</v>
      </c>
    </row>
    <row r="67" spans="5:13" ht="31.5" hidden="1" customHeight="1" x14ac:dyDescent="0.25">
      <c r="E67" s="1" t="e">
        <f>VLOOKUP(Tabelle13[[#This Row],[Sorte]],Anzuchtdatenbank!B:M,12,FALSE)</f>
        <v>#N/A</v>
      </c>
      <c r="F67" s="1" t="e">
        <f>VLOOKUP(Tabelle13[[#This Row],[Sorte]],Datenbank[[Sorte]:[Anzucht-Zeit]],2,FALSE)</f>
        <v>#N/A</v>
      </c>
      <c r="G67" s="1" t="e">
        <f>VLOOKUP(Tabelle13[[#This Row],[Sorte]],Anzuchtdatenbank!B:I,3,FALSE)</f>
        <v>#N/A</v>
      </c>
      <c r="H67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67" s="1" t="e">
        <f>VLOOKUP(Tabelle13[[#This Row],[Sorte]],Anzuchtdatenbank!B:I,8,FALSE)</f>
        <v>#N/A</v>
      </c>
      <c r="M67" s="1" t="e">
        <f>VLOOKUP(Tabelle13[[#This Row],[Sorte]],Anzuchtdatenbank!B:M,11,FALSE)</f>
        <v>#N/A</v>
      </c>
    </row>
    <row r="68" spans="5:13" ht="31.5" hidden="1" customHeight="1" x14ac:dyDescent="0.25">
      <c r="E68" s="1" t="e">
        <f>VLOOKUP(Tabelle13[[#This Row],[Sorte]],Anzuchtdatenbank!B:M,12,FALSE)</f>
        <v>#N/A</v>
      </c>
      <c r="F68" s="1" t="e">
        <f>VLOOKUP(Tabelle13[[#This Row],[Sorte]],Datenbank[[Sorte]:[Anzucht-Zeit]],2,FALSE)</f>
        <v>#N/A</v>
      </c>
      <c r="G68" s="1" t="e">
        <f>VLOOKUP(Tabelle13[[#This Row],[Sorte]],Anzuchtdatenbank!B:I,3,FALSE)</f>
        <v>#N/A</v>
      </c>
      <c r="H68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68" s="1" t="e">
        <f>VLOOKUP(Tabelle13[[#This Row],[Sorte]],Anzuchtdatenbank!B:I,8,FALSE)</f>
        <v>#N/A</v>
      </c>
      <c r="M68" s="1" t="e">
        <f>VLOOKUP(Tabelle13[[#This Row],[Sorte]],Anzuchtdatenbank!B:M,11,FALSE)</f>
        <v>#N/A</v>
      </c>
    </row>
    <row r="69" spans="5:13" ht="31.5" hidden="1" customHeight="1" x14ac:dyDescent="0.25">
      <c r="E69" s="1" t="e">
        <f>VLOOKUP(Tabelle13[[#This Row],[Sorte]],Anzuchtdatenbank!B:M,12,FALSE)</f>
        <v>#N/A</v>
      </c>
      <c r="F69" s="1" t="e">
        <f>VLOOKUP(Tabelle13[[#This Row],[Sorte]],Datenbank[[Sorte]:[Anzucht-Zeit]],2,FALSE)</f>
        <v>#N/A</v>
      </c>
      <c r="G69" s="1" t="e">
        <f>VLOOKUP(Tabelle13[[#This Row],[Sorte]],Anzuchtdatenbank!B:I,3,FALSE)</f>
        <v>#N/A</v>
      </c>
      <c r="H69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69" s="1" t="e">
        <f>VLOOKUP(Tabelle13[[#This Row],[Sorte]],Anzuchtdatenbank!B:I,8,FALSE)</f>
        <v>#N/A</v>
      </c>
      <c r="M69" s="1" t="e">
        <f>VLOOKUP(Tabelle13[[#This Row],[Sorte]],Anzuchtdatenbank!B:M,11,FALSE)</f>
        <v>#N/A</v>
      </c>
    </row>
    <row r="70" spans="5:13" ht="31.5" hidden="1" customHeight="1" x14ac:dyDescent="0.25">
      <c r="E70" s="1" t="e">
        <f>VLOOKUP(Tabelle13[[#This Row],[Sorte]],Anzuchtdatenbank!B:M,12,FALSE)</f>
        <v>#N/A</v>
      </c>
      <c r="F70" s="1" t="e">
        <f>VLOOKUP(Tabelle13[[#This Row],[Sorte]],Datenbank[[Sorte]:[Anzucht-Zeit]],2,FALSE)</f>
        <v>#N/A</v>
      </c>
      <c r="G70" s="1" t="e">
        <f>VLOOKUP(Tabelle13[[#This Row],[Sorte]],Anzuchtdatenbank!B:I,3,FALSE)</f>
        <v>#N/A</v>
      </c>
      <c r="H70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70" s="1" t="e">
        <f>VLOOKUP(Tabelle13[[#This Row],[Sorte]],Anzuchtdatenbank!B:I,8,FALSE)</f>
        <v>#N/A</v>
      </c>
      <c r="M70" s="1" t="e">
        <f>VLOOKUP(Tabelle13[[#This Row],[Sorte]],Anzuchtdatenbank!B:M,11,FALSE)</f>
        <v>#N/A</v>
      </c>
    </row>
    <row r="71" spans="5:13" ht="31.5" hidden="1" customHeight="1" x14ac:dyDescent="0.25">
      <c r="E71" s="1" t="e">
        <f>VLOOKUP(Tabelle13[[#This Row],[Sorte]],Anzuchtdatenbank!B:M,12,FALSE)</f>
        <v>#N/A</v>
      </c>
      <c r="F71" s="1" t="e">
        <f>VLOOKUP(Tabelle13[[#This Row],[Sorte]],Datenbank[[Sorte]:[Anzucht-Zeit]],2,FALSE)</f>
        <v>#N/A</v>
      </c>
      <c r="G71" s="1" t="e">
        <f>VLOOKUP(Tabelle13[[#This Row],[Sorte]],Anzuchtdatenbank!B:I,3,FALSE)</f>
        <v>#N/A</v>
      </c>
      <c r="H71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71" s="1" t="e">
        <f>VLOOKUP(Tabelle13[[#This Row],[Sorte]],Anzuchtdatenbank!B:I,8,FALSE)</f>
        <v>#N/A</v>
      </c>
      <c r="M71" s="1" t="e">
        <f>VLOOKUP(Tabelle13[[#This Row],[Sorte]],Anzuchtdatenbank!B:M,11,FALSE)</f>
        <v>#N/A</v>
      </c>
    </row>
    <row r="72" spans="5:13" ht="31.5" hidden="1" customHeight="1" x14ac:dyDescent="0.25">
      <c r="E72" s="1" t="e">
        <f>VLOOKUP(Tabelle13[[#This Row],[Sorte]],Anzuchtdatenbank!B:M,12,FALSE)</f>
        <v>#N/A</v>
      </c>
      <c r="F72" s="1" t="e">
        <f>VLOOKUP(Tabelle13[[#This Row],[Sorte]],Datenbank[[Sorte]:[Anzucht-Zeit]],2,FALSE)</f>
        <v>#N/A</v>
      </c>
      <c r="G72" s="1" t="e">
        <f>VLOOKUP(Tabelle13[[#This Row],[Sorte]],Anzuchtdatenbank!B:I,3,FALSE)</f>
        <v>#N/A</v>
      </c>
      <c r="H72" s="1" t="e">
        <f>IF(VLOOKUP(Tabelle13[[#This Row],[Sorte]],Datenbank[[Sorte]:[Keimtemperatur]],5,FALSE)&lt;&gt;"",CONCATENATE(VLOOKUP(Tabelle13[[#This Row],[Sorte]],Datenbank[[Sorte]:[Keimtemperatur]],6,FALSE)," ",VLOOKUP(Tabelle13[[#This Row],[Sorte]],Datenbank[[Sorte]:[Keimtemperatur]],5,FALSE)," bei ",VLOOKUP(Tabelle13[[#This Row],[Sorte]],Datenbank[[Sorte]:[Keimtemperatur]],7,FALSE)),"")</f>
        <v>#N/A</v>
      </c>
      <c r="I72" s="1" t="e">
        <f>VLOOKUP(Tabelle13[[#This Row],[Sorte]],Anzuchtdatenbank!B:I,8,FALSE)</f>
        <v>#N/A</v>
      </c>
      <c r="M72" s="1" t="e">
        <f>VLOOKUP(Tabelle13[[#This Row],[Sorte]],Anzuchtdatenbank!B:M,11,FALSE)</f>
        <v>#N/A</v>
      </c>
    </row>
  </sheetData>
  <phoneticPr fontId="2" type="noConversion"/>
  <dataValidations count="20">
    <dataValidation type="list" allowBlank="1" showInputMessage="1" showErrorMessage="1" sqref="O38 O31 O50:O70 O43:O44 O2:O15" xr:uid="{03E5149A-2833-459F-9B09-6C87F9B9A5CE}">
      <formula1>"Anfang, Mitte, Ende"</formula1>
    </dataValidation>
    <dataValidation type="list" allowBlank="1" showInputMessage="1" showErrorMessage="1" sqref="B2:B4" xr:uid="{C3908446-DCB6-4EA7-881A-B9B7BA67AF86}">
      <formula1>"Lila Luzi,Gochugaru (North Korean),Haus Paprika"</formula1>
    </dataValidation>
    <dataValidation type="list" allowBlank="1" showInputMessage="1" showErrorMessage="1" sqref="B7 B19" xr:uid="{30982F86-FDA6-485E-8984-312A3517FFBA}">
      <formula1>"True Sweet Gold"</formula1>
    </dataValidation>
    <dataValidation type="list" allowBlank="1" showInputMessage="1" showErrorMessage="1" sqref="B10" xr:uid="{74BCE9B9-2816-40F9-9757-1EE0AE30E088}">
      <formula1>"Amerikanischer brauner Pflücksalat"</formula1>
    </dataValidation>
    <dataValidation type="list" allowBlank="1" showInputMessage="1" showErrorMessage="1" sqref="B11" xr:uid="{FFD41AF3-8825-4179-AAA7-7AC5568E60D2}">
      <formula1>"Cocozelle von Tripolis,Tondo chiaro di Nizza"</formula1>
    </dataValidation>
    <dataValidation type="list" allowBlank="1" showInputMessage="1" showErrorMessage="1" sqref="B12" xr:uid="{3CC47168-BE69-491E-9BC2-05620A6DD338}">
      <formula1>"Cocozelle von Tripolis,Tondo chiaro di Nizza,Black Beauty"</formula1>
    </dataValidation>
    <dataValidation type="list" allowBlank="1" showInputMessage="1" showErrorMessage="1" sqref="B13" xr:uid="{15359353-B21E-42A1-8A2D-821F1D18D330}">
      <formula1>"Dulceria"</formula1>
    </dataValidation>
    <dataValidation type="list" allowBlank="1" showInputMessage="1" showErrorMessage="1" sqref="B14" xr:uid="{0BF48E9C-418E-4120-8A81-53B12383A14E}">
      <formula1>"Libelle,Vorgebirgstrauben"</formula1>
    </dataValidation>
    <dataValidation type="list" allowBlank="1" showInputMessage="1" showErrorMessage="1" sqref="B15:B16" xr:uid="{E453D8CE-9A82-42EF-9FD8-5C9B91B96C40}">
      <formula1>"Ruskaja,Marketmore"</formula1>
    </dataValidation>
    <dataValidation type="list" allowBlank="1" showInputMessage="1" showErrorMessage="1" sqref="B17" xr:uid="{EBF7B092-1902-4844-B54D-006205C66BAB}">
      <formula1>"Milan,Gosenheimer Treib,Mischung ,lange rote stumpfe"</formula1>
    </dataValidation>
    <dataValidation type="list" allowBlank="1" showInputMessage="1" showErrorMessage="1" sqref="B5:B6" xr:uid="{F9DAF0A6-247E-45F3-90E5-57C90C1B79B2}">
      <formula1>"Lila Luzi,Gochugaru (North Korean),Haus Paprika,Pepperoni Pagels,Elefonatenrüssel"</formula1>
    </dataValidation>
    <dataValidation type="list" allowBlank="1" showInputMessage="1" showErrorMessage="1" sqref="B18" xr:uid="{E6BF0EE6-2BFC-42F0-88EB-F28951F9BCA0}">
      <formula1>"Brassica Rappa var. Chinesis"</formula1>
    </dataValidation>
    <dataValidation type="list" allowBlank="1" showInputMessage="1" showErrorMessage="1" sqref="B20" xr:uid="{DD1A9542-4905-4C74-A843-37CFCCF2F756}">
      <formula1>"San Marzano"</formula1>
    </dataValidation>
    <dataValidation type="list" allowBlank="1" showInputMessage="1" showErrorMessage="1" sqref="B21:B22" xr:uid="{819552A7-0AFC-43E8-9140-CF37BF648B68}">
      <formula1>"Ochsenherz,Liguria,San Marzano"</formula1>
    </dataValidation>
    <dataValidation type="list" allowBlank="1" showInputMessage="1" showErrorMessage="1" sqref="B23" xr:uid="{CD4D187E-2157-4F05-811E-43840977FCD4}">
      <formula1>"Zuckertraube,Märchengranat,Primabella"</formula1>
    </dataValidation>
    <dataValidation type="list" allowBlank="1" showInputMessage="1" showErrorMessage="1" sqref="B24" xr:uid="{A5F0AC6E-908E-403E-B1E4-CEE8BD6B9662}">
      <formula1>"Tigerella,Black Roma"</formula1>
    </dataValidation>
    <dataValidation type="list" allowBlank="1" showInputMessage="1" showErrorMessage="1" sqref="B25" xr:uid="{18689B50-57D2-4EF0-A300-00220636EA26}">
      <formula1>"Pflanzkartoffelsortiment 4
Unsere Beliebtesten"</formula1>
    </dataValidation>
    <dataValidation type="list" allowBlank="1" showInputMessage="1" showErrorMessage="1" sqref="B26" xr:uid="{2E48DBBB-F6F6-4D36-B530-1DCEA2B510B8}">
      <formula1>"Chiba Green"</formula1>
    </dataValidation>
    <dataValidation type="list" allowBlank="1" showInputMessage="1" showErrorMessage="1" sqref="B27" xr:uid="{AA3FE461-7D3F-4CAF-B76A-EAE6094D0CE6}">
      <formula1>"Rodyna"</formula1>
    </dataValidation>
    <dataValidation type="list" allowBlank="1" showInputMessage="1" showErrorMessage="1" sqref="B8:B9" xr:uid="{F144B954-3072-462B-B2FD-DF0F4C15054E}">
      <formula1>"Maikönig,Baquieu,Pirat"</formula1>
    </dataValidation>
  </dataValidations>
  <pageMargins left="0.25" right="0.25" top="0.75" bottom="0.75" header="0.3" footer="0.3"/>
  <pageSetup paperSize="9" scale="68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6FD613D3-82C7-476B-BC1F-5FA4A4C79E46}">
          <x14:formula1>
            <xm:f>_xlfn.ANCHORARRAY(Hilfsblatt!$A$1)</xm:f>
          </x14:formula1>
          <xm:sqref>A2:A72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49</vt:i4>
      </vt:variant>
    </vt:vector>
  </HeadingPairs>
  <TitlesOfParts>
    <vt:vector size="54" baseType="lpstr">
      <vt:lpstr>Anzuchtdatenbank</vt:lpstr>
      <vt:lpstr>Tabelle1</vt:lpstr>
      <vt:lpstr>Hilfsblatt</vt:lpstr>
      <vt:lpstr>2025</vt:lpstr>
      <vt:lpstr>2026</vt:lpstr>
      <vt:lpstr>Basilikum</vt:lpstr>
      <vt:lpstr>Bechermalve</vt:lpstr>
      <vt:lpstr>Blattkoriander</vt:lpstr>
      <vt:lpstr>Blumenkohl</vt:lpstr>
      <vt:lpstr>Borretsch</vt:lpstr>
      <vt:lpstr>Brokkoli</vt:lpstr>
      <vt:lpstr>Buschbohne</vt:lpstr>
      <vt:lpstr>Chili</vt:lpstr>
      <vt:lpstr>Cosmea</vt:lpstr>
      <vt:lpstr>Dill</vt:lpstr>
      <vt:lpstr>Einlegegurke</vt:lpstr>
      <vt:lpstr>Endivien</vt:lpstr>
      <vt:lpstr>Gartenkresse</vt:lpstr>
      <vt:lpstr>Grünkohl</vt:lpstr>
      <vt:lpstr>Gurke</vt:lpstr>
      <vt:lpstr>Honigmelone</vt:lpstr>
      <vt:lpstr>Jungfer_im_Grünen</vt:lpstr>
      <vt:lpstr>Kamille</vt:lpstr>
      <vt:lpstr>Kapuzinerkresse</vt:lpstr>
      <vt:lpstr>Kartoffeln</vt:lpstr>
      <vt:lpstr>Knoblauch</vt:lpstr>
      <vt:lpstr>Kohlrabi</vt:lpstr>
      <vt:lpstr>Kopfsalat</vt:lpstr>
      <vt:lpstr>Kürbis</vt:lpstr>
      <vt:lpstr>Lavendel</vt:lpstr>
      <vt:lpstr>Lein</vt:lpstr>
      <vt:lpstr>Möhre</vt:lpstr>
      <vt:lpstr>Paprika</vt:lpstr>
      <vt:lpstr>Petersilie</vt:lpstr>
      <vt:lpstr>Pflücksalat</vt:lpstr>
      <vt:lpstr>Physalis</vt:lpstr>
      <vt:lpstr>Porree</vt:lpstr>
      <vt:lpstr>Radieschen</vt:lpstr>
      <vt:lpstr>Rauke</vt:lpstr>
      <vt:lpstr>Rhabarber</vt:lpstr>
      <vt:lpstr>Ringelblumen</vt:lpstr>
      <vt:lpstr>Rote_Bete</vt:lpstr>
      <vt:lpstr>Schnittlauch</vt:lpstr>
      <vt:lpstr>Spinat</vt:lpstr>
      <vt:lpstr>Stangensellerie</vt:lpstr>
      <vt:lpstr>Stielmus</vt:lpstr>
      <vt:lpstr>Tomate</vt:lpstr>
      <vt:lpstr>Tomaten__Cherrytomaten</vt:lpstr>
      <vt:lpstr>Tomaten__Cocktailtomaten</vt:lpstr>
      <vt:lpstr>Tomaten__Fleischtomaten</vt:lpstr>
      <vt:lpstr>Tomaten__Salattomaten</vt:lpstr>
      <vt:lpstr>Wintersteckzwiebel</vt:lpstr>
      <vt:lpstr>Zucchini</vt:lpstr>
      <vt:lpstr>Zuckermais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isabel uhlig</cp:lastModifiedBy>
  <cp:lastPrinted>2024-01-09T09:51:18Z</cp:lastPrinted>
  <dcterms:created xsi:type="dcterms:W3CDTF">2022-01-27T08:32:14Z</dcterms:created>
  <dcterms:modified xsi:type="dcterms:W3CDTF">2026-03-08T11:43:12Z</dcterms:modified>
</cp:coreProperties>
</file>